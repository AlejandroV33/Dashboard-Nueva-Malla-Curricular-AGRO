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6851a45bb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0b4f2bde561b4326"/>
    <x:sheet xmlns:r="http://schemas.openxmlformats.org/officeDocument/2006/relationships" name="01_Metodologia" sheetId="2" r:id="Rcf82924a452c4ae3"/>
    <x:sheet xmlns:r="http://schemas.openxmlformats.org/officeDocument/2006/relationships" name="02_Cobertura_Familias" sheetId="3" r:id="Rd804e6402e4d4f5c"/>
    <x:sheet xmlns:r="http://schemas.openxmlformats.org/officeDocument/2006/relationships" name="03_Brechas_Prioridad" sheetId="4" r:id="R8b947998eacc4eba"/>
    <x:sheet xmlns:r="http://schemas.openxmlformats.org/officeDocument/2006/relationships" name="04_Decisiones_Asignaturas" sheetId="5" r:id="Rc3e948f4f5e646ec"/>
    <x:sheet xmlns:r="http://schemas.openxmlformats.org/officeDocument/2006/relationships" name="05_Acciones_Familia" sheetId="6" r:id="Re0198dde8cdb4a1f"/>
    <x:sheet xmlns:r="http://schemas.openxmlformats.org/officeDocument/2006/relationships" name="06_Candidatos_Rediseno" sheetId="7" r:id="Rd3486b0ee8d14973"/>
    <x:sheet xmlns:r="http://schemas.openxmlformats.org/officeDocument/2006/relationships" name="07_Perfil_Formativo" sheetId="8" r:id="R1b8faf4fba584d45"/>
    <x:sheet xmlns:r="http://schemas.openxmlformats.org/officeDocument/2006/relationships" name="08_Senales_Stakeholders" sheetId="9" r:id="Rbdb4622fea054c06"/>
    <x:sheet xmlns:r="http://schemas.openxmlformats.org/officeDocument/2006/relationships" name="09_Normalizacion_EPN" sheetId="10" r:id="R67c088aa427b4758"/>
    <x:sheet xmlns:r="http://schemas.openxmlformats.org/officeDocument/2006/relationships" name="10_Auditoria_Normalizacion" sheetId="11" r:id="R69bcb849fdd840d5"/>
    <x:sheet xmlns:r="http://schemas.openxmlformats.org/officeDocument/2006/relationships" name="11_Fuentes" sheetId="12" r:id="R1b70f1c42b3442bf"/>
    <x:sheet xmlns:r="http://schemas.openxmlformats.org/officeDocument/2006/relationships" name="12_Control" sheetId="13" r:id="R18255231012e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&quot;%&quot;"/>
    <x:numFmt numFmtId="202" formatCode="0%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99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234640c6c4372" /><Relationship Type="http://schemas.openxmlformats.org/officeDocument/2006/relationships/theme" Target="/xl/theme/theme1.xml" Id="R079cb072ecc84e02" /><Relationship Type="http://schemas.openxmlformats.org/officeDocument/2006/relationships/sharedStrings" Target="/xl/sharedStrings.xml" Id="R8c04a7a7f00b46dc" /><Relationship Type="http://schemas.openxmlformats.org/officeDocument/2006/relationships/worksheet" Target="/xl/worksheets/sheet1.xml" Id="R0b4f2bde561b4326" /><Relationship Type="http://schemas.openxmlformats.org/officeDocument/2006/relationships/worksheet" Target="/xl/worksheets/sheet2.xml" Id="Rcf82924a452c4ae3" /><Relationship Type="http://schemas.openxmlformats.org/officeDocument/2006/relationships/worksheet" Target="/xl/worksheets/sheet3.xml" Id="Rd804e6402e4d4f5c" /><Relationship Type="http://schemas.openxmlformats.org/officeDocument/2006/relationships/worksheet" Target="/xl/worksheets/sheet4.xml" Id="R8b947998eacc4eba" /><Relationship Type="http://schemas.openxmlformats.org/officeDocument/2006/relationships/worksheet" Target="/xl/worksheets/sheet5.xml" Id="Rc3e948f4f5e646ec" /><Relationship Type="http://schemas.openxmlformats.org/officeDocument/2006/relationships/worksheet" Target="/xl/worksheets/sheet6.xml" Id="Re0198dde8cdb4a1f" /><Relationship Type="http://schemas.openxmlformats.org/officeDocument/2006/relationships/worksheet" Target="/xl/worksheets/sheet7.xml" Id="Rd3486b0ee8d14973" /><Relationship Type="http://schemas.openxmlformats.org/officeDocument/2006/relationships/worksheet" Target="/xl/worksheets/sheet8.xml" Id="R1b8faf4fba584d45" /><Relationship Type="http://schemas.openxmlformats.org/officeDocument/2006/relationships/worksheet" Target="/xl/worksheets/sheet9.xml" Id="Rbdb4622fea054c06" /><Relationship Type="http://schemas.openxmlformats.org/officeDocument/2006/relationships/worksheet" Target="/xl/worksheets/sheet10.xml" Id="R67c088aa427b4758" /><Relationship Type="http://schemas.openxmlformats.org/officeDocument/2006/relationships/worksheet" Target="/xl/worksheets/sheet11.xml" Id="R69bcb849fdd840d5" /><Relationship Type="http://schemas.openxmlformats.org/officeDocument/2006/relationships/worksheet" Target="/xl/worksheets/sheet12.xml" Id="R1b70f1c42b3442bf" /><Relationship Type="http://schemas.openxmlformats.org/officeDocument/2006/relationships/worksheet" Target="/xl/worksheets/sheet13.xml" Id="R18255231012e4c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765d5318ea4f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de acciones por familia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</c:v>
          </c:tx>
          <c:cat>
            <c:strRef>
              <c:f>'00_Resumen'!$E$4:$E$8</c:f>
              <c:strCache>
                <c:ptCount val="0"/>
              </c:strCache>
            </c:strRef>
          </c:cat>
          <c:val>
            <c:numRef>
              <c:f>'00_Resumen'!$F$4:$F$8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765d5318ea4f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39bb2710de40a0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70" hidden="0" customWidth="1"/>
    <x:col min="5" max="5" width="24" hidden="0" customWidth="1"/>
    <x:col min="6" max="6" width="12" hidden="0" customWidth="1"/>
  </x:cols>
  <x:sheetData>
    <x:row r="1">
      <x:c r="A1" s="5" t="str">
        <x:v>EPN AGRO — DIAGNÓSTICO CURRICULAR CONTRA BENCHMARK INTERNACIONAL v1.0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KPI</x:v>
      </x:c>
      <x:c r="B3" s="14" t="str">
        <x:v>Resultado</x:v>
      </x:c>
      <x:c r="C3" s="14" t="str">
        <x:v>Lectura</x:v>
      </x:c>
      <x:c r="E3" s="14" t="str">
        <x:v>Acción familias</x:v>
      </x:c>
      <x:c r="F3" s="14" t="str">
        <x:v>N</x:v>
      </x:c>
    </x:row>
    <x:row r="4">
      <x:c r="A4" s="22" t="str">
        <x:v>Créditos malla EPN</x:v>
      </x:c>
      <x:c r="B4" s="26" t="n">
        <x:v>135</x:v>
      </x:c>
      <x:c r="C4" s="26" t="str">
        <x:v>9 períodos × 15 créditos; no incluye créditos imputados a requisitos externos.</x:v>
      </x:c>
      <x:c r="E4" t="str">
        <x:v>AÑADIR</x:v>
      </x:c>
      <x:c r="F4" t="n">
        <x:f>COUNTIF('02_Cobertura_Familias'!AA:AA,E4)</x:f>
        <x:v>3</x:v>
      </x:c>
    </x:row>
    <x:row r="5">
      <x:c r="A5" s="22" t="str">
        <x:v>Registros curriculares analizados</x:v>
      </x:c>
      <x:c r="B5" s="26" t="n">
        <x:v>70</x:v>
      </x:c>
      <x:c r="C5" s="26" t="str">
        <x:v>54 cuadrícula + 6 opciones de itinerario + 10 requisitos de graduación.</x:v>
      </x:c>
      <x:c r="E5" t="str">
        <x:v>REFORZAR</x:v>
      </x:c>
      <x:c r="F5" t="n">
        <x:f>COUNTIF('02_Cobertura_Familias'!AA:AA,E5)</x:f>
        <x:v>14</x:v>
      </x:c>
    </x:row>
    <x:row r="6">
      <x:c r="A6" s="22" t="str">
        <x:v>Familias con alguna cobertura EPN</x:v>
      </x:c>
      <x:c r="B6" s="26" t="n">
        <x:v>47</x:v>
      </x:c>
      <x:c r="C6" s="26" t="str">
        <x:v>Cobertura core, secundaria, itinerario o requisito.</x:v>
      </x:c>
      <x:c r="E6" t="str">
        <x:v>INTEGRAR</x:v>
      </x:c>
      <x:c r="F6" t="n">
        <x:f>COUNTIF('02_Cobertura_Familias'!AA:AA,E6)</x:f>
        <x:v>21</x:v>
      </x:c>
    </x:row>
    <x:row r="7">
      <x:c r="A7" s="22" t="str">
        <x:v>Casos normalización REVISAR</x:v>
      </x:c>
      <x:c r="B7" s="26" t="n">
        <x:v>6</x:v>
      </x:c>
      <x:c r="C7" s="26" t="str">
        <x:v>No se forzaron: Agroindustrias, Seguridad Industrial, Polímeros, Servicio Comunitario, Productos No Alimenticios I/II.</x:v>
      </x:c>
      <x:c r="E7" t="str">
        <x:v>MANTENER</x:v>
      </x:c>
      <x:c r="F7" t="n">
        <x:f>COUNTIF('02_Cobertura_Familias'!AA:AA,E7)</x:f>
        <x:v>28</x:v>
      </x:c>
    </x:row>
    <x:row r="8">
      <x:c r="A8" s="22" t="str">
        <x:v>Laboratorios explícitos 2026</x:v>
      </x:c>
      <x:c r="B8" s="26" t="n">
        <x:v>19</x:v>
      </x:c>
      <x:c r="C8" s="26" t="str">
        <x:v>Evidencia operacional mínima, no inventada.</x:v>
      </x:c>
      <x:c r="E8" t="str">
        <x:v>NO PRIORIZAR</x:v>
      </x:c>
      <x:c r="F8" t="n">
        <x:f>COUNTIF('02_Cobertura_Familias'!AA:AA,E8)</x:f>
        <x:v>45</x:v>
      </x:c>
    </x:row>
    <x:row r="9">
      <x:c r="A9" s="22" t="str">
        <x:v>Familias AÑADIR</x:v>
      </x:c>
      <x:c r="B9" s="26" t="n">
        <x:f>COUNTIF('02_Cobertura_Familias'!AA:AA,"AÑADIR")</x:f>
        <x:v>3</x:v>
      </x:c>
      <x:c r="C9" s="26" t="str">
        <x:v>Solo brechas distintas y estratégicas.</x:v>
      </x:c>
    </x:row>
    <x:row r="10">
      <x:c r="A10" s="22" t="str">
        <x:v>Familias REFORZAR</x:v>
      </x:c>
      <x:c r="B10" s="26" t="n">
        <x:f>COUNTIF('02_Cobertura_Familias'!AA:AA,"REFORZAR")</x:f>
        <x:v>14</x:v>
      </x:c>
      <x:c r="C10" s="26" t="str">
        <x:v>Presentes pero necesitan mayor profundidad/práctica/actualización.</x:v>
      </x:c>
    </x:row>
    <x:row r="11">
      <x:c r="A11" s="22" t="str">
        <x:v>Familias INTEGRAR</x:v>
      </x:c>
      <x:c r="B11" s="26" t="n">
        <x:f>COUNTIF('02_Cobertura_Familias'!AA:AA,"INTEGRAR")</x:f>
        <x:v>21</x:v>
      </x:c>
      <x:c r="C11" s="26" t="str">
        <x:v>Prioridad para modernizar sin inflar créditos.</x:v>
      </x:c>
    </x:row>
    <x:row r="12">
      <x:c r="A12" s="22" t="str">
        <x:v>Asignaturas RECONSIDERAR/ELIMINAR</x:v>
      </x:c>
      <x:c r="B12" s="26" t="n">
        <x:f>COUNTIF('04_Decisiones_Asignaturas'!M:M,"RECONSIDERAR/ELIMINAR")</x:f>
        <x:v>2</x:v>
      </x:c>
      <x:c r="C12" s="26" t="str">
        <x:v>Revisar/rediseñar antes de eliminar competencias.</x:v>
      </x:c>
    </x:row>
    <x:row r="14">
      <x:c r="A14" s="14" t="str">
        <x:v>Conclusión prioritaria</x:v>
      </x:c>
      <x:c r="B14" s="14" t="str">
        <x:v>Hallazgo</x:v>
      </x:c>
      <x:c r="C14" s="14" t="str">
        <x:v>Decisión</x:v>
      </x:c>
    </x:row>
    <x:row r="15">
      <x:c r="A15" s="22" t="str">
        <x:v>Digitalización/IA</x:v>
      </x:c>
      <x:c r="B15" s="26" t="str">
        <x:v>La malla tiene Programación y Simulación, pero no explicita ciencia de datos/IA; graduados la priorizan fuertemente.</x:v>
      </x:c>
      <x:c r="C15" s="26" t="str">
        <x:v>INTEGRAR datos/IA en una secuencia Estadística→Programación→Simulación→proyectos.</x:v>
      </x:c>
    </x:row>
    <x:row r="16">
      <x:c r="A16" s="22" t="str">
        <x:v>Inocuidad alimentaria</x:v>
      </x:c>
      <x:c r="B16" s="26" t="str">
        <x:v>No aparece una familia explícita HACCP/inocuidad en el núcleo; calidad sí está presente.</x:v>
      </x:c>
      <x:c r="C16" s="26" t="str">
        <x:v>AÑADIR una unidad explícita de inocuidad/riesgos, coordinada con seguridad y calidad.</x:v>
      </x:c>
    </x:row>
    <x:row r="17">
      <x:c r="A17" s="22" t="str">
        <x:v>Automatización y control</x:v>
      </x:c>
      <x:c r="B17" s="26" t="str">
        <x:v>No hay asignatura explícita; el perfil propuesto exige herramientas digitales para operar/controlar.</x:v>
      </x:c>
      <x:c r="C17" s="26" t="str">
        <x:v>AÑADIR Automatización y Control, articulada con Simulación y Diseño de Plantas.</x:v>
      </x:c>
    </x:row>
    <x:row r="18">
      <x:c r="A18" s="22" t="str">
        <x:v>Innovación de producto</x:v>
      </x:c>
      <x:c r="B18" s="26" t="str">
        <x:v>No existe curso explícito de desarrollo/innovación de productos; la señal local e internacional es fuerte.</x:v>
      </x:c>
      <x:c r="C18" s="26" t="str">
        <x:v>AÑADIR o convertir un proyecto profesional en una experiencia explícita de innovación de producto.</x:v>
      </x:c>
    </x:row>
    <x:row r="19">
      <x:c r="A19" s="22" t="str">
        <x:v>Sostenibilidad/circularidad</x:v>
      </x:c>
      <x:c r="B19" s="26" t="str">
        <x:v>Impacto Ambiental existe y Subproductos/Agricultura Ecológica aparecen como requisitos, pero ACV/circularidad no están articulados.</x:v>
      </x:c>
      <x:c r="C19" s="26" t="str">
        <x:v>INTEGRAR como eje evaluable en procesos, plantas, productos y proyectos.</x:v>
      </x:c>
    </x:row>
    <x:row r="20">
      <x:c r="A20" s="22" t="str">
        <x:v>Microbiología</x:v>
      </x:c>
      <x:c r="B20" s="26" t="str">
        <x:v>EPN tiene Microbiología Industrial y de Alimentos; el benchmark tiene Microbiología General como núcleo universal.</x:v>
      </x:c>
      <x:c r="C20" s="26" t="str">
        <x:v>INTEGRAR fundamentos de microbiología antes de crear otra asignatura; confirmar con PEA.</x:v>
      </x:c>
    </x:row>
    <x:row r="21">
      <x:c r="A21" s="22" t="str">
        <x:v>Práctica</x:v>
      </x:c>
      <x:c r="B21" s="26" t="str">
        <x:v>La planificación confirma 19 laboratorios y 240 h de práctica laboral, pero stakeholders piden más práctica/industria.</x:v>
      </x:c>
      <x:c r="C21" s="26" t="str">
        <x:v>REFORZAR integración de laboratorios, proyectos reales, visitas y pasantías.</x:v>
      </x:c>
    </x:row>
    <x:row r="22">
      <x:c r="A22" s="22" t="str">
        <x:v>Polímeros</x:v>
      </x:c>
      <x:c r="B22" s="26" t="str">
        <x:v>El curso actual es difícil de comparar; packaging/materiales sostenibles es una familia internacional reconocible.</x:v>
      </x:c>
      <x:c r="C22" s="26" t="str">
        <x:v>RECONSIDERAR/REDISEÑAR AGRD743 hacia envases, biomateriales y packaging sostenible.</x:v>
      </x:c>
    </x:row>
    <x:row r="23">
      <x:c r="A23" s="22" t="str">
        <x:v>Ingeniería de procesos</x:v>
      </x:c>
      <x:c r="B23" s="26" t="str">
        <x:v>Balances, termodinámica, fluidos, transferencia, operaciones y simulación son parte explícita de la identidad EPN.</x:v>
      </x:c>
      <x:c r="C23" s="26" t="str">
        <x:v>MANTENER; no eliminarlos por menor frecuencia en grados Food Science.</x:v>
      </x:c>
    </x:row>
    <x:row r="24">
      <x:c r="A24" s="22" t="str">
        <x:v>Crecimiento de créditos</x:v>
      </x:c>
      <x:c r="B24" s="26" t="str">
        <x:v>Tres adiciones aparecen justificadas, pero el plan ya está cerrado en 135 créditos.</x:v>
      </x:c>
      <x:c r="C24" s="26" t="str">
        <x:v>Priorizar integración y reasignación tras auditoría de contenidos antes de aumentar carga total.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439bb2710de40a0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68" hidden="0" customWidth="1"/>
  </x:cols>
  <x:sheetData>
    <x:row r="1">
      <x:c r="A1" s="5" t="str">
        <x:v>MATRIZ DE BRECHAS EPN AGRO vs BENCHMARK — METODOLOGÍA v1.0</x:v>
      </x:c>
      <x:c r="B1" s="5"/>
      <x:c r="C1" s="5"/>
    </x:row>
    <x:row r="3">
      <x:c r="A3" s="14" t="str">
        <x:v>Criterio</x:v>
      </x:c>
      <x:c r="B3" s="14" t="str">
        <x:v>Regla</x:v>
      </x:c>
      <x:c r="C3" s="14" t="str">
        <x:v>Motivo</x:v>
      </x:c>
    </x:row>
    <x:row r="4">
      <x:c r="A4" s="22" t="str">
        <x:v>Benchmark internacional</x:v>
      </x:c>
      <x:c r="B4" s="26" t="str">
        <x:v>Se conservan los denominadores de Matriz_Comparativa_AGRO_v1_0; EPN NO se añade al Core.</x:v>
      </x:c>
      <x:c r="C4" s="26" t="str">
        <x:v>Evita contaminación/endogeneidad del benchmark.</x:v>
      </x:c>
    </x:row>
    <x:row r="5">
      <x:c r="A5" s="22" t="str">
        <x:v>Currículo objetivo</x:v>
      </x:c>
      <x:c r="B5" s="26" t="str">
        <x:v>EPN PÉNSUM 2020 / oferta operacional 2026.</x:v>
      </x:c>
      <x:c r="C5" s="26" t="str">
        <x:v>Es el objeto a diagnosticar.</x:v>
      </x:c>
    </x:row>
    <x:row r="6">
      <x:c r="A6" s="22" t="str">
        <x:v>Familias</x:v>
      </x:c>
      <x:c r="B6" s="26" t="str">
        <x:v>111 familias AGRO-NORM-v1.0 congeladas.</x:v>
      </x:c>
      <x:c r="C6" s="26" t="str">
        <x:v>No se crean familias nuevas en esta corrida.</x:v>
      </x:c>
    </x:row>
    <x:row r="7">
      <x:c r="A7" s="22" t="str">
        <x:v>Asignaturas EPN normalizadas</x:v>
      </x:c>
      <x:c r="B7" s="26" t="str">
        <x:v>64 APROBADO + 6 REVISAR de 70 registros.</x:v>
      </x:c>
      <x:c r="C7" s="26" t="str">
        <x:v>Los 6 casos ambiguos no se fuerzan.</x:v>
      </x:c>
    </x:row>
    <x:row r="8">
      <x:c r="A8" s="22" t="str">
        <x:v>Peso EPN</x:v>
      </x:c>
      <x:c r="B8" s="26" t="str">
        <x:v>Solo créditos de la cuadrícula de 135 asignados a familia principal.</x:v>
      </x:c>
      <x:c r="C8" s="26" t="str">
        <x:v>Las familias secundarias no reciben crédito; itinerarios/requisitos externos no inflan el peso obligatorio.</x:v>
      </x:c>
    </x:row>
    <x:row r="9">
      <x:c r="A9" s="22" t="str">
        <x:v>Presencia EPN</x:v>
      </x:c>
      <x:c r="B9" s="26" t="str">
        <x:v>CORE_PRINCIPAL, CORE_SECUNDARIA, ITINERARIO, REQUISITO_GRADUACION o AUSENTE.</x:v>
      </x:c>
      <x:c r="C9" s="26" t="str">
        <x:v>Distingue ausencia real de cobertura parcial.</x:v>
      </x:c>
    </x:row>
    <x:row r="10">
      <x:c r="A10" s="22" t="str">
        <x:v>Laboratorios</x:v>
      </x:c>
      <x:c r="B10" s="26" t="str">
        <x:v>Solo 19 laboratorios explícitos de planificación 2026.</x:v>
      </x:c>
      <x:c r="C10" s="26" t="str">
        <x:v>La ausencia de registro no equivale a ausencia real.</x:v>
      </x:c>
    </x:row>
    <x:row r="11">
      <x:c r="A11" s="22" t="str">
        <x:v>Perfil formativo</x:v>
      </x:c>
      <x:c r="B11" s="26" t="str">
        <x:v>Vigente y propuesta 2026 se mantienen separados.</x:v>
      </x:c>
      <x:c r="C11" s="26" t="str">
        <x:v>No se presenta la propuesta como malla aprobada.</x:v>
      </x:c>
    </x:row>
    <x:row r="12">
      <x:c r="A12" s="22" t="str">
        <x:v>Alineación perfil→familia</x:v>
      </x:c>
      <x:c r="B12" s="26" t="str">
        <x:v>DERIVADA ANALÍTICAMENTE y etiquetada como tal.</x:v>
      </x:c>
      <x:c r="C12" s="26" t="str">
        <x:v>No existe curriculum mapping institucional recuperado.</x:v>
      </x:c>
    </x:row>
    <x:row r="13">
      <x:c r="A13" s="22" t="str">
        <x:v>Stakeholders</x:v>
      </x:c>
      <x:c r="B13" s="26" t="str">
        <x:v>Encuesta graduados + focus group empleadores como capa independiente.</x:v>
      </x:c>
      <x:c r="C13" s="26" t="str">
        <x:v>No modifica la clasificación internacional.</x:v>
      </x:c>
    </x:row>
    <x:row r="14">
      <x:c r="A14" s="22" t="str">
        <x:v>MANTENER</x:v>
      </x:c>
      <x:c r="B14" s="26" t="str">
        <x:v>Cobertura adecuada o elemento de identidad ingenieril sin brecha prioritaria.</x:v>
      </x:c>
      <x:c r="C14" s="26" t="str">
        <x:v>No confundir baja prevalencia en Food Science con irrelevancia para Ingeniería Agroindustrial.</x:v>
      </x:c>
    </x:row>
    <x:row r="15">
      <x:c r="A15" s="22" t="str">
        <x:v>REFORZAR</x:v>
      </x:c>
      <x:c r="B15" s="26" t="str">
        <x:v>Familia presente pero con necesidad de más profundidad, práctica, actualización o peso.</x:v>
      </x:c>
      <x:c r="C15" s="26" t="str">
        <x:v>No implica necesariamente aumentar créditos.</x:v>
      </x:c>
    </x:row>
    <x:row r="16">
      <x:c r="A16" s="22" t="str">
        <x:v>INTEGRAR</x:v>
      </x:c>
      <x:c r="B16" s="26" t="str">
        <x:v>Tema estratégico cubierto de forma implícita, secundaria, por requisito/itinerario o transversalizable.</x:v>
      </x:c>
      <x:c r="C16" s="26" t="str">
        <x:v>Primera opción para evitar crecimiento del plan.</x:v>
      </x:c>
    </x:row>
    <x:row r="17">
      <x:c r="A17" s="22" t="str">
        <x:v>AÑADIR</x:v>
      </x:c>
      <x:c r="B17" s="26" t="str">
        <x:v>Brecha distinta y estratégica que necesita una unidad explícita si no existe cobertura suficiente.</x:v>
      </x:c>
      <x:c r="C17" s="26" t="str">
        <x:v>Se usa de forma restrictiva.</x:v>
      </x:c>
    </x:row>
    <x:row r="18">
      <x:c r="A18" s="22" t="str">
        <x:v>RECONSIDERAR/ELIMINAR</x:v>
      </x:c>
      <x:c r="B18" s="26" t="str">
        <x:v>Revisar formulación/duplicación de una asignatura; eliminar solo si sus competencias se transfieren.</x:v>
      </x:c>
      <x:c r="C18" s="26" t="str">
        <x:v>No se recomienda eliminar una competencia relevante sin PEA.</x:v>
      </x:c>
    </x:row>
    <x:row r="19">
      <x:c r="A19" s="22" t="str">
        <x:v>NO PRIORIZAR</x:v>
      </x:c>
      <x:c r="B19" s="26" t="str">
        <x:v>Familia ausente sin evidencia suficiente para incorporarla.</x:v>
      </x:c>
      <x:c r="C19" s="26" t="str">
        <x:v>Evita crear materias por mera rareza/frecuencia.</x:v>
      </x:c>
    </x:row>
    <x:row r="20">
      <x:c r="A20" s="22" t="str">
        <x:v>Restricción crítica</x:v>
      </x:c>
      <x:c r="B20" s="26" t="str">
        <x:v>No se dispone de PEA/guías vigentes por asignatura en esta corrida.</x:v>
      </x:c>
      <x:c r="C20" s="26" t="str">
        <x:v>Toda decisión de fusión/eliminación requiere auditoría de contenidos antes de aprobarse.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4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4" hidden="0" customWidth="1"/>
    <x:col min="15" max="15" width="6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4" hidden="0" customWidth="1"/>
    <x:col min="24" max="24" width="44" hidden="0" customWidth="1"/>
    <x:col min="25" max="25" width="44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4" t="str">
        <x:v>ID_Area</x:v>
      </x:c>
      <x:c r="B1" s="14" t="str">
        <x:v>Area</x:v>
      </x:c>
      <x:c r="C1" s="14" t="str">
        <x:v>ID_Familia</x:v>
      </x:c>
      <x:c r="D1" s="14" t="str">
        <x:v>Familia_Curricular</x:v>
      </x:c>
      <x:c r="E1" s="14" t="str">
        <x:v>Presencia_Core_pct</x:v>
      </x:c>
      <x:c r="F1" s="14" t="str">
        <x:v>Presencia_Core_Obligatoria_pct</x:v>
      </x:c>
      <x:c r="G1" s="14" t="str">
        <x:v>Presencia_Master_pct</x:v>
      </x:c>
      <x:c r="H1" s="14" t="str">
        <x:v>Estatus_Benchmark</x:v>
      </x:c>
      <x:c r="I1" s="14" t="str">
        <x:v>Senal_Emergente</x:v>
      </x:c>
      <x:c r="J1" s="14" t="str">
        <x:v>Peso_Benchmark_Core_pct</x:v>
      </x:c>
      <x:c r="K1" s="14" t="str">
        <x:v>Primera_Aparicion_Benchmark_pct</x:v>
      </x:c>
      <x:c r="L1" s="14" t="str">
        <x:v>Etapa_Benchmark</x:v>
      </x:c>
      <x:c r="M1" s="14" t="str">
        <x:v>Profundidad_Benchmark</x:v>
      </x:c>
      <x:c r="N1" s="14" t="str">
        <x:v>Estado_Cobertura_EPN</x:v>
      </x:c>
      <x:c r="O1" s="14" t="str">
        <x:v>Asignaturas_Soporte_EPN</x:v>
      </x:c>
      <x:c r="P1" s="14" t="str">
        <x:v>Creditos_Core_Principal_EPN</x:v>
      </x:c>
      <x:c r="Q1" s="14" t="str">
        <x:v>Peso_Core_EPN_pct</x:v>
      </x:c>
      <x:c r="R1" s="14" t="str">
        <x:v>Ratio_Peso_EPN_vs_Benchmark</x:v>
      </x:c>
      <x:c r="S1" s="14" t="str">
        <x:v>Primera_Aparicion_EPN_pct</x:v>
      </x:c>
      <x:c r="T1" s="14" t="str">
        <x:v>Etapa_EPN</x:v>
      </x:c>
      <x:c r="U1" s="14" t="str">
        <x:v>Profundidad_EPN</x:v>
      </x:c>
      <x:c r="V1" s="14" t="str">
        <x:v>Laboratorios_Explicitos_EPN</x:v>
      </x:c>
      <x:c r="W1" s="14" t="str">
        <x:v>Alineacion_Perfil_2026_DERIVADA</x:v>
      </x:c>
      <x:c r="X1" s="14" t="str">
        <x:v>Senales_Stakeholders</x:v>
      </x:c>
      <x:c r="Y1" s="14" t="str">
        <x:v>Prioridad_Stakeholders</x:v>
      </x:c>
      <x:c r="Z1" s="14" t="str">
        <x:v>Tipo_Brecha</x:v>
      </x:c>
      <x:c r="AA1" s="14" t="str">
        <x:v>Accion_Preliminar</x:v>
      </x:c>
      <x:c r="AB1" s="14" t="str">
        <x:v>Prioridad_Revision</x:v>
      </x:c>
      <x:c r="AC1" s="14" t="str">
        <x:v>Justificacion_Accion</x:v>
      </x:c>
    </x:row>
    <x:row r="2">
      <x:c r="A2" s="26" t="str">
        <x:v>A00</x:v>
      </x:c>
      <x:c r="B2" s="26" t="str">
        <x:v>Contenedores curriculares / no temáticos</x:v>
      </x:c>
      <x:c r="C2" s="26" t="str">
        <x:v>F0001</x:v>
      </x:c>
      <x:c r="D2" s="26" t="str">
        <x:v>Optatividad / grupo de elección</x:v>
      </x:c>
      <x:c r="E2" s="32" t="n">
        <x:v>0.46153846153846156</x:v>
      </x:c>
      <x:c r="F2" s="32" t="n">
        <x:v>0</x:v>
      </x:c>
      <x:c r="G2" s="32" t="n">
        <x:v>0</x:v>
      </x:c>
      <x:c r="H2" s="26" t="str">
        <x:v>Selectiva</x:v>
      </x:c>
      <x:c r="I2" s="26" t="str"/>
      <x:c r="J2" s="32" t="n">
        <x:v>0</x:v>
      </x:c>
      <x:c r="K2" s="33" t="n">
        <x:v>80.20833333333333</x:v>
      </x:c>
      <x:c r="L2" s="26" t="str">
        <x:v>E4 Integración/especialización</x:v>
      </x:c>
      <x:c r="M2" s="26" t="str">
        <x:v>N1</x:v>
      </x:c>
      <x:c r="N2" s="26" t="str">
        <x:v>AUSENTE</x:v>
      </x:c>
      <x:c r="O2" s="26" t="str"/>
      <x:c r="P2" s="26" t="n">
        <x:v>0</x:v>
      </x:c>
      <x:c r="Q2" s="32" t="n">
        <x:f>P2/135</x:f>
        <x:v>0</x:v>
      </x:c>
      <x:c r="R2" s="32" t="str">
        <x:f>IF(J2=0,"",Q2/J2)</x:f>
      </x:c>
      <x:c r="S2" s="33"/>
      <x:c r="T2" s="26" t="str">
        <x:v>NR</x:v>
      </x:c>
      <x:c r="U2" s="26" t="str">
        <x:v>NR</x:v>
      </x:c>
      <x:c r="V2" s="26" t="str"/>
      <x:c r="W2" s="26" t="str"/>
      <x:c r="X2" s="26" t="str"/>
      <x:c r="Y2" s="26" t="str"/>
      <x:c r="Z2" s="26" t="str">
        <x:v>AUSENCIA</x:v>
      </x:c>
      <x:c r="AA2" s="26" t="str">
        <x:v>NO PRIORIZAR</x:v>
      </x:c>
      <x:c r="AB2" s="26" t="str">
        <x:v>Baja</x:v>
      </x:c>
      <x:c r="AC2" s="26" t="str">
        <x:v>Ausencia sin suficiente evidencia internacional + EPN para justificar una nueva materia en esta fase.</x:v>
      </x:c>
    </x:row>
    <x:row r="3">
      <x:c r="A3" s="26" t="str">
        <x:v>A00</x:v>
      </x:c>
      <x:c r="B3" s="26" t="str">
        <x:v>Contenedores curriculares / no temáticos</x:v>
      </x:c>
      <x:c r="C3" s="26" t="str">
        <x:v>F0002</x:v>
      </x:c>
      <x:c r="D3" s="26" t="str">
        <x:v>Especialización / parcours no desagregado</x:v>
      </x:c>
      <x:c r="E3" s="32" t="n">
        <x:v>0</x:v>
      </x:c>
      <x:c r="F3" s="32" t="n">
        <x:v>0</x:v>
      </x:c>
      <x:c r="G3" s="32" t="n">
        <x:v>0.5714285714285714</x:v>
      </x:c>
      <x:c r="H3" s="26" t="str">
        <x:v>Baja prevalencia</x:v>
      </x:c>
      <x:c r="I3" s="26" t="str"/>
      <x:c r="J3" s="32" t="n">
        <x:v>0</x:v>
      </x:c>
      <x:c r="K3" s="33"/>
      <x:c r="L3" s="26" t="str">
        <x:v>NR</x:v>
      </x:c>
      <x:c r="M3" s="26" t="str">
        <x:v>NR</x:v>
      </x:c>
      <x:c r="N3" s="26" t="str">
        <x:v>CORE_PRINCIPAL</x:v>
      </x:c>
      <x:c r="O3" s="26" t="str">
        <x:v>AGRD800 Itinerario Básico; AGRD900 Itinerario Avanzado</x:v>
      </x:c>
      <x:c r="P3" s="26" t="n">
        <x:v>7</x:v>
      </x:c>
      <x:c r="Q3" s="32" t="n">
        <x:f>P3/135</x:f>
        <x:v>0.05185185185185185</x:v>
      </x:c>
      <x:c r="R3" s="32" t="str">
        <x:f>IF(J3=0,"",Q3/J3)</x:f>
      </x:c>
      <x:c r="S3" s="33" t="n">
        <x:v>83.33333333333334</x:v>
      </x:c>
      <x:c r="T3" s="26" t="str">
        <x:v>E4 Integración/especialización</x:v>
      </x:c>
      <x:c r="U3" s="26" t="str">
        <x:v>NR</x:v>
      </x:c>
      <x:c r="V3" s="26" t="str"/>
      <x:c r="W3" s="26" t="str"/>
      <x:c r="X3" s="26" t="str"/>
      <x:c r="Y3" s="26" t="str"/>
      <x:c r="Z3" s="26" t="str">
        <x:v>CUBIERTA</x:v>
      </x:c>
      <x:c r="AA3" s="26" t="str">
        <x:v>MANTENER</x:v>
      </x:c>
      <x:c r="AB3" s="26" t="str">
        <x:v>Media</x:v>
      </x:c>
      <x:c r="AC3" s="26" t="str">
        <x:v>Cobertura explícita en la malla EPN y sin brecha prioritaria suficiente para justificar aumento de carga.</x:v>
      </x:c>
    </x:row>
    <x:row r="4">
      <x:c r="A4" s="26" t="str">
        <x:v>A01</x:v>
      </x:c>
      <x:c r="B4" s="26" t="str">
        <x:v>Matemáticas, Estadística y Computación</x:v>
      </x:c>
      <x:c r="C4" s="26" t="str">
        <x:v>F0101</x:v>
      </x:c>
      <x:c r="D4" s="26" t="str">
        <x:v>Cálculo y matemática general</x:v>
      </x:c>
      <x:c r="E4" s="32" t="n">
        <x:v>1</x:v>
      </x:c>
      <x:c r="F4" s="32" t="n">
        <x:v>1</x:v>
      </x:c>
      <x:c r="G4" s="32" t="n">
        <x:v>0.14285714285714285</x:v>
      </x:c>
      <x:c r="H4" s="26" t="str">
        <x:v>Universal / núcleo</x:v>
      </x:c>
      <x:c r="I4" s="26" t="str"/>
      <x:c r="J4" s="32" t="n">
        <x:v>0.045370370370370366</x:v>
      </x:c>
      <x:c r="K4" s="33" t="n">
        <x:v>8.333333333333332</x:v>
      </x:c>
      <x:c r="L4" s="26" t="str">
        <x:v>E1 Fundamentos</x:v>
      </x:c>
      <x:c r="M4" s="26" t="str">
        <x:v>N1</x:v>
      </x:c>
      <x:c r="N4" s="26" t="str">
        <x:v>CORE_PRINCIPAL</x:v>
      </x:c>
      <x:c r="O4" s="26" t="str">
        <x:v>MATD123 Cálculo en una Variable; IAQD222 Matemática Aplicada en Ingeniería I; IAQD312 Matemática Aplicada en Ingeniería II</x:v>
      </x:c>
      <x:c r="P4" s="26" t="n">
        <x:v>7</x:v>
      </x:c>
      <x:c r="Q4" s="32" t="n">
        <x:f>P4/135</x:f>
        <x:v>0.05185185185185185</x:v>
      </x:c>
      <x:c r="R4" s="32" t="n">
        <x:f>IF(J4=0,"",Q4/J4)</x:f>
        <x:v>1.142857142857143</x:v>
      </x:c>
      <x:c r="S4" s="33" t="n">
        <x:v>5.555555555555555</x:v>
      </x:c>
      <x:c r="T4" s="26" t="str">
        <x:v>E1 Fundamentos</x:v>
      </x:c>
      <x:c r="U4" s="26" t="str">
        <x:v>N2</x:v>
      </x:c>
      <x:c r="V4" s="26" t="str"/>
      <x:c r="W4" s="26" t="str">
        <x:v>CPIA1</x:v>
      </x:c>
      <x:c r="X4" s="26" t="str"/>
      <x:c r="Y4" s="26" t="str"/>
      <x:c r="Z4" s="26" t="str">
        <x:v>CUBIERTA</x:v>
      </x:c>
      <x:c r="AA4" s="26" t="str">
        <x:v>MANTENER</x:v>
      </x:c>
      <x:c r="AB4" s="26" t="str">
        <x:v>Media</x:v>
      </x:c>
      <x:c r="AC4" s="26" t="str">
        <x:v>Cobertura explícita en la malla EPN y sin brecha prioritaria suficiente para justificar aumento de carga.</x:v>
      </x:c>
    </x:row>
    <x:row r="5">
      <x:c r="A5" s="26" t="str">
        <x:v>A01</x:v>
      </x:c>
      <x:c r="B5" s="26" t="str">
        <x:v>Matemáticas, Estadística y Computación</x:v>
      </x:c>
      <x:c r="C5" s="26" t="str">
        <x:v>F0102</x:v>
      </x:c>
      <x:c r="D5" s="26" t="str">
        <x:v>Álgebra lineal y geometría</x:v>
      </x:c>
      <x:c r="E5" s="32" t="n">
        <x:v>0.23076923076923078</x:v>
      </x:c>
      <x:c r="F5" s="32" t="n">
        <x:v>0.23076923076923078</x:v>
      </x:c>
      <x:c r="G5" s="32" t="n">
        <x:v>0</x:v>
      </x:c>
      <x:c r="H5" s="26" t="str">
        <x:v>Baja prevalencia</x:v>
      </x:c>
      <x:c r="I5" s="26" t="str">
        <x:v>Nicho / especialización</x:v>
      </x:c>
      <x:c r="J5" s="32" t="n">
        <x:v>0.009722222222222222</x:v>
      </x:c>
      <x:c r="K5" s="33" t="n">
        <x:v>8.333333333333332</x:v>
      </x:c>
      <x:c r="L5" s="26" t="str">
        <x:v>E1 Fundamentos</x:v>
      </x:c>
      <x:c r="M5" s="26" t="str">
        <x:v>N1</x:v>
      </x:c>
      <x:c r="N5" s="26" t="str">
        <x:v>CORE_PRINCIPAL</x:v>
      </x:c>
      <x:c r="O5" s="26" t="str">
        <x:v>MATD113 Álgebra Lineal</x:v>
      </x:c>
      <x:c r="P5" s="26" t="n">
        <x:v>3</x:v>
      </x:c>
      <x:c r="Q5" s="32" t="n">
        <x:f>P5/135</x:f>
        <x:v>0.022222222222222223</x:v>
      </x:c>
      <x:c r="R5" s="32" t="n">
        <x:f>IF(J5=0,"",Q5/J5)</x:f>
        <x:v>2.2857142857142856</x:v>
      </x:c>
      <x:c r="S5" s="33" t="n">
        <x:v>5.555555555555555</x:v>
      </x:c>
      <x:c r="T5" s="26" t="str">
        <x:v>E1 Fundamentos</x:v>
      </x:c>
      <x:c r="U5" s="26" t="str">
        <x:v>N1</x:v>
      </x:c>
      <x:c r="V5" s="26" t="str"/>
      <x:c r="W5" s="26" t="str">
        <x:v>CPIA1</x:v>
      </x:c>
      <x:c r="X5" s="26" t="str"/>
      <x:c r="Y5" s="26" t="str"/>
      <x:c r="Z5" s="26" t="str">
        <x:v>CUBIERTA</x:v>
      </x:c>
      <x:c r="AA5" s="26" t="str">
        <x:v>MANTENER</x:v>
      </x:c>
      <x:c r="AB5" s="26" t="str">
        <x:v>Media</x:v>
      </x:c>
      <x:c r="AC5" s="26" t="str">
        <x:v>Cobertura explícita en la malla EPN y sin brecha prioritaria suficiente para justificar aumento de carga.</x:v>
      </x:c>
    </x:row>
    <x:row r="6">
      <x:c r="A6" s="26" t="str">
        <x:v>A01</x:v>
      </x:c>
      <x:c r="B6" s="26" t="str">
        <x:v>Matemáticas, Estadística y Computación</x:v>
      </x:c>
      <x:c r="C6" s="26" t="str">
        <x:v>F0103</x:v>
      </x:c>
      <x:c r="D6" s="26" t="str">
        <x:v>Ecuaciones diferenciales y modelización matemática</x:v>
      </x:c>
      <x:c r="E6" s="32" t="n">
        <x:v>0.07692307692307693</x:v>
      </x:c>
      <x:c r="F6" s="32" t="n">
        <x:v>0.07692307692307693</x:v>
      </x:c>
      <x:c r="G6" s="32" t="n">
        <x:v>0</x:v>
      </x:c>
      <x:c r="H6" s="26" t="str">
        <x:v>Baja prevalencia</x:v>
      </x:c>
      <x:c r="I6" s="26" t="str">
        <x:v>Nicho / especialización</x:v>
      </x:c>
      <x:c r="J6" s="32" t="n">
        <x:v>0.001388888888888889</x:v>
      </x:c>
      <x:c r="K6" s="33" t="n">
        <x:v>31.25</x:v>
      </x:c>
      <x:c r="L6" s="26" t="str">
        <x:v>E2 Fundamentos de ingeniería</x:v>
      </x:c>
      <x:c r="M6" s="26" t="str">
        <x:v>N1</x:v>
      </x:c>
      <x:c r="N6" s="26" t="str">
        <x:v>CORE_PRINCIPAL</x:v>
      </x:c>
      <x:c r="O6" s="26" t="str">
        <x:v>MATD213 Ecuaciones Diferenciales Ordinarias</x:v>
      </x:c>
      <x:c r="P6" s="26" t="n">
        <x:v>3</x:v>
      </x:c>
      <x:c r="Q6" s="32" t="n">
        <x:f>P6/135</x:f>
        <x:v>0.022222222222222223</x:v>
      </x:c>
      <x:c r="R6" s="32" t="n">
        <x:f>IF(J6=0,"",Q6/J6)</x:f>
        <x:v>16</x:v>
      </x:c>
      <x:c r="S6" s="33" t="n">
        <x:v>16.666666666666664</x:v>
      </x:c>
      <x:c r="T6" s="26" t="str">
        <x:v>E1 Fundamentos</x:v>
      </x:c>
      <x:c r="U6" s="26" t="str">
        <x:v>N1</x:v>
      </x:c>
      <x:c r="V6" s="26" t="str"/>
      <x:c r="W6" s="26" t="str">
        <x:v>CPIA1</x:v>
      </x:c>
      <x:c r="X6" s="26" t="str"/>
      <x:c r="Y6" s="26" t="str"/>
      <x:c r="Z6" s="26" t="str">
        <x:v>CUBIERTA</x:v>
      </x:c>
      <x:c r="AA6" s="26" t="str">
        <x:v>MANTENER</x:v>
      </x:c>
      <x:c r="AB6" s="26" t="str">
        <x:v>Media</x:v>
      </x:c>
      <x:c r="AC6" s="26" t="str">
        <x:v>Cobertura explícita en la malla EPN y sin brecha prioritaria suficiente para justificar aumento de carga.</x:v>
      </x:c>
    </x:row>
    <x:row r="7">
      <x:c r="A7" s="26" t="str">
        <x:v>A01</x:v>
      </x:c>
      <x:c r="B7" s="26" t="str">
        <x:v>Matemáticas, Estadística y Computación</x:v>
      </x:c>
      <x:c r="C7" s="26" t="str">
        <x:v>F0104</x:v>
      </x:c>
      <x:c r="D7" s="26" t="str">
        <x:v>Estadística y probabilidad</x:v>
      </x:c>
      <x:c r="E7" s="32" t="n">
        <x:v>0.6923076923076923</x:v>
      </x:c>
      <x:c r="F7" s="32" t="n">
        <x:v>0.6923076923076923</x:v>
      </x:c>
      <x:c r="G7" s="32" t="n">
        <x:v>0.14285714285714285</x:v>
      </x:c>
      <x:c r="H7" s="26" t="str">
        <x:v>Consolidada</x:v>
      </x:c>
      <x:c r="I7" s="26" t="str"/>
      <x:c r="J7" s="32" t="n">
        <x:v>0.018287037037037036</x:v>
      </x:c>
      <x:c r="K7" s="33" t="n">
        <x:v>31.25</x:v>
      </x:c>
      <x:c r="L7" s="26" t="str">
        <x:v>E2 Fundamentos de ingeniería</x:v>
      </x:c>
      <x:c r="M7" s="26" t="str">
        <x:v>N1</x:v>
      </x:c>
      <x:c r="N7" s="26" t="str">
        <x:v>CORE_PRINCIPAL + CORE_SECUNDARIA</x:v>
      </x:c>
      <x:c r="O7" s="26" t="str">
        <x:v>MATD223 Probabilidad y Estadística Básicas; AGRD842 Aseguramiento Estadístico de la Calidad</x:v>
      </x:c>
      <x:c r="P7" s="26" t="n">
        <x:v>3</x:v>
      </x:c>
      <x:c r="Q7" s="32" t="n">
        <x:f>P7/135</x:f>
        <x:v>0.022222222222222223</x:v>
      </x:c>
      <x:c r="R7" s="32" t="n">
        <x:f>IF(J7=0,"",Q7/J7)</x:f>
        <x:v>1.2151898734177216</x:v>
      </x:c>
      <x:c r="S7" s="33" t="n">
        <x:v>16.666666666666664</x:v>
      </x:c>
      <x:c r="T7" s="26" t="str">
        <x:v>E1 Fundamentos</x:v>
      </x:c>
      <x:c r="U7" s="26" t="str">
        <x:v>N2</x:v>
      </x:c>
      <x:c r="V7" s="26" t="str"/>
      <x:c r="W7" s="26" t="str">
        <x:v>CPIA1; CPIA2</x:v>
      </x:c>
      <x:c r="X7" s="26" t="str"/>
      <x:c r="Y7" s="26" t="str"/>
      <x:c r="Z7" s="26" t="str">
        <x:v>CUBIERTA</x:v>
      </x:c>
      <x:c r="AA7" s="26" t="str">
        <x:v>MANTENER</x:v>
      </x:c>
      <x:c r="AB7" s="26" t="str">
        <x:v>Media</x:v>
      </x:c>
      <x:c r="AC7" s="26" t="str">
        <x:v>Cobertura explícita en la malla EPN y sin brecha prioritaria suficiente para justificar aumento de carga.</x:v>
      </x:c>
    </x:row>
    <x:row r="8">
      <x:c r="A8" s="26" t="str">
        <x:v>A01</x:v>
      </x:c>
      <x:c r="B8" s="26" t="str">
        <x:v>Matemáticas, Estadística y Computación</x:v>
      </x:c>
      <x:c r="C8" s="26" t="str">
        <x:v>F0105</x:v>
      </x:c>
      <x:c r="D8" s="26" t="str">
        <x:v>Diseño experimental y análisis multivariante</x:v>
      </x:c>
      <x:c r="E8" s="32" t="n">
        <x:v>0</x:v>
      </x:c>
      <x:c r="F8" s="32" t="n">
        <x:v>0</x:v>
      </x:c>
      <x:c r="G8" s="32" t="n">
        <x:v>0.14285714285714285</x:v>
      </x:c>
      <x:c r="H8" s="26" t="str">
        <x:v>Baja prevalencia</x:v>
      </x:c>
      <x:c r="I8" s="26" t="str"/>
      <x:c r="J8" s="32" t="n">
        <x:v>0</x:v>
      </x:c>
      <x:c r="K8" s="33"/>
      <x:c r="L8" s="26" t="str">
        <x:v>NR</x:v>
      </x:c>
      <x:c r="M8" s="26" t="str">
        <x:v>NR</x:v>
      </x:c>
      <x:c r="N8" s="26" t="str">
        <x:v>AUSENTE</x:v>
      </x:c>
      <x:c r="O8" s="26" t="str"/>
      <x:c r="P8" s="26" t="n">
        <x:v>0</x:v>
      </x:c>
      <x:c r="Q8" s="32" t="n">
        <x:f>P8/135</x:f>
        <x:v>0</x:v>
      </x:c>
      <x:c r="R8" s="32" t="str">
        <x:f>IF(J8=0,"",Q8/J8)</x:f>
      </x:c>
      <x:c r="S8" s="33"/>
      <x:c r="T8" s="26" t="str">
        <x:v>NR</x:v>
      </x:c>
      <x:c r="U8" s="26" t="str">
        <x:v>NR</x:v>
      </x:c>
      <x:c r="V8" s="26" t="str"/>
      <x:c r="W8" s="26" t="str">
        <x:v>CPIA2; CPIA4</x:v>
      </x:c>
      <x:c r="X8" s="26" t="str"/>
      <x:c r="Y8" s="26" t="str"/>
      <x:c r="Z8" s="26" t="str">
        <x:v>AUSENCIA</x:v>
      </x:c>
      <x:c r="AA8" s="26" t="str">
        <x:v>INTEGRAR</x:v>
      </x:c>
      <x:c r="AB8" s="26" t="str">
        <x:v>Alta</x:v>
      </x:c>
      <x:c r="AC8" s="26" t="str">
        <x:v>Demanda EPN/perfil relevante; incorporar como resultado transversal o módulo antes de crear una asignatura independiente.</x:v>
      </x:c>
    </x:row>
    <x:row r="9">
      <x:c r="A9" s="26" t="str">
        <x:v>A01</x:v>
      </x:c>
      <x:c r="B9" s="26" t="str">
        <x:v>Matemáticas, Estadística y Computación</x:v>
      </x:c>
      <x:c r="C9" s="26" t="str">
        <x:v>F0106</x:v>
      </x:c>
      <x:c r="D9" s="26" t="str">
        <x:v>Métodos numéricos y programación</x:v>
      </x:c>
      <x:c r="E9" s="32" t="n">
        <x:v>0.15384615384615385</x:v>
      </x:c>
      <x:c r="F9" s="32" t="n">
        <x:v>0.15384615384615385</x:v>
      </x:c>
      <x:c r="G9" s="32" t="n">
        <x:v>0</x:v>
      </x:c>
      <x:c r="H9" s="26" t="str">
        <x:v>Baja prevalencia</x:v>
      </x:c>
      <x:c r="I9" s="26" t="str">
        <x:v>Nicho / especialización</x:v>
      </x:c>
      <x:c r="J9" s="32" t="n">
        <x:v>0.002777777777777778</x:v>
      </x:c>
      <x:c r="K9" s="33" t="n">
        <x:v>28.125</x:v>
      </x:c>
      <x:c r="L9" s="26" t="str">
        <x:v>E2 Fundamentos de ingeniería</x:v>
      </x:c>
      <x:c r="M9" s="26" t="str">
        <x:v>N1</x:v>
      </x:c>
      <x:c r="N9" s="26" t="str">
        <x:v>CORE_PRINCIPAL</x:v>
      </x:c>
      <x:c r="O9" s="26" t="str">
        <x:v>IAQD262 Programación</x:v>
      </x:c>
      <x:c r="P9" s="26" t="n">
        <x:v>2</x:v>
      </x:c>
      <x:c r="Q9" s="32" t="n">
        <x:f>P9/135</x:f>
        <x:v>0.014814814814814815</x:v>
      </x:c>
      <x:c r="R9" s="32" t="n">
        <x:f>IF(J9=0,"",Q9/J9)</x:f>
        <x:v>5.333333333333333</x:v>
      </x:c>
      <x:c r="S9" s="33" t="n">
        <x:v>16.666666666666664</x:v>
      </x:c>
      <x:c r="T9" s="26" t="str">
        <x:v>E1 Fundamentos</x:v>
      </x:c>
      <x:c r="U9" s="26" t="str">
        <x:v>N1</x:v>
      </x:c>
      <x:c r="V9" s="26" t="str">
        <x:v>IAQD262L</x:v>
      </x:c>
      <x:c r="W9" s="26" t="str">
        <x:v>CPIA1</x:v>
      </x:c>
      <x:c r="X9" s="26" t="str">
        <x:v>S01</x:v>
      </x:c>
      <x:c r="Y9" s="26" t="str">
        <x:v>Muy alta</x:v>
      </x:c>
      <x:c r="Z9" s="26" t="str">
        <x:v>COBERTURA_PRESENTE_PERO_INSUFICIENTE/ACTUALIZAR</x:v>
      </x:c>
      <x:c r="AA9" s="26" t="str">
        <x:v>REFORZAR</x:v>
      </x:c>
      <x:c r="AB9" s="26" t="str">
        <x:v>Muy alta</x:v>
      </x:c>
      <x:c r="AC9" s="26" t="str">
        <x:v>La familia ya está en la malla, pero graduados/empleadores o el perfil actualizado demandan mayor profundidad, práctica o actualidad.</x:v>
      </x:c>
    </x:row>
    <x:row r="10">
      <x:c r="A10" s="26" t="str">
        <x:v>A01</x:v>
      </x:c>
      <x:c r="B10" s="26" t="str">
        <x:v>Matemáticas, Estadística y Computación</x:v>
      </x:c>
      <x:c r="C10" s="26" t="str">
        <x:v>F0107</x:v>
      </x:c>
      <x:c r="D10" s="26" t="str">
        <x:v>Informática, bases de datos y software</x:v>
      </x:c>
      <x:c r="E10" s="32" t="n">
        <x:v>0.5384615384615384</x:v>
      </x:c>
      <x:c r="F10" s="32" t="n">
        <x:v>0.46153846153846156</x:v>
      </x:c>
      <x:c r="G10" s="32" t="n">
        <x:v>0.42857142857142855</x:v>
      </x:c>
      <x:c r="H10" s="26" t="str">
        <x:v>Consolidada</x:v>
      </x:c>
      <x:c r="I10" s="26" t="str"/>
      <x:c r="J10" s="32" t="n">
        <x:v>0.008564814814814815</x:v>
      </x:c>
      <x:c r="K10" s="33" t="n">
        <x:v>25</x:v>
      </x:c>
      <x:c r="L10" s="26" t="str">
        <x:v>E1 Fundamentos</x:v>
      </x:c>
      <x:c r="M10" s="26" t="str">
        <x:v>N1</x:v>
      </x:c>
      <x:c r="N10" s="26" t="str">
        <x:v>CORE_PRINCIPAL</x:v>
      </x:c>
      <x:c r="O10" s="26" t="str">
        <x:v>ICOD111 Herramientas Informáticas</x:v>
      </x:c>
      <x:c r="P10" s="26" t="n">
        <x:v>1</x:v>
      </x:c>
      <x:c r="Q10" s="32" t="n">
        <x:f>P10/135</x:f>
        <x:v>0.007407407407407408</x:v>
      </x:c>
      <x:c r="R10" s="32" t="n">
        <x:f>IF(J10=0,"",Q10/J10)</x:f>
        <x:v>0.8648648648648649</x:v>
      </x:c>
      <x:c r="S10" s="33" t="n">
        <x:v>5.555555555555555</x:v>
      </x:c>
      <x:c r="T10" s="26" t="str">
        <x:v>E1 Fundamentos</x:v>
      </x:c>
      <x:c r="U10" s="26" t="str">
        <x:v>N1</x:v>
      </x:c>
      <x:c r="V10" s="26" t="str"/>
      <x:c r="W10" s="26" t="str">
        <x:v>CPIA1</x:v>
      </x:c>
      <x:c r="X10" s="26" t="str"/>
      <x:c r="Y10" s="26" t="str"/>
      <x:c r="Z10" s="26" t="str">
        <x:v>CUBIERTA</x:v>
      </x:c>
      <x:c r="AA10" s="26" t="str">
        <x:v>MANTENER</x:v>
      </x:c>
      <x:c r="AB10" s="26" t="str">
        <x:v>Media</x:v>
      </x:c>
      <x:c r="AC10" s="26" t="str">
        <x:v>Cobertura explícita en la malla EPN y sin brecha prioritaria suficiente para justificar aumento de carga.</x:v>
      </x:c>
    </x:row>
    <x:row r="11">
      <x:c r="A11" s="26" t="str">
        <x:v>A01</x:v>
      </x:c>
      <x:c r="B11" s="26" t="str">
        <x:v>Matemáticas, Estadística y Computación</x:v>
      </x:c>
      <x:c r="C11" s="26" t="str">
        <x:v>F0108</x:v>
      </x:c>
      <x:c r="D11" s="26" t="str">
        <x:v>Ciencia de datos, IA y analítica</x:v>
      </x:c>
      <x:c r="E11" s="32" t="n">
        <x:v>0</x:v>
      </x:c>
      <x:c r="F11" s="32" t="n">
        <x:v>0</x:v>
      </x:c>
      <x:c r="G11" s="32" t="n">
        <x:v>0.42857142857142855</x:v>
      </x:c>
      <x:c r="H11" s="26" t="str">
        <x:v>Baja prevalencia</x:v>
      </x:c>
      <x:c r="I11" s="26" t="str">
        <x:v>Emergente desde nivel avanzado</x:v>
      </x:c>
      <x:c r="J11" s="32" t="n">
        <x:v>0</x:v>
      </x:c>
      <x:c r="K11" s="33"/>
      <x:c r="L11" s="26" t="str">
        <x:v>NR</x:v>
      </x:c>
      <x:c r="M11" s="26" t="str">
        <x:v>NR</x:v>
      </x:c>
      <x:c r="N11" s="26" t="str">
        <x:v>AUSENTE</x:v>
      </x:c>
      <x:c r="O11" s="26" t="str"/>
      <x:c r="P11" s="26" t="n">
        <x:v>0</x:v>
      </x:c>
      <x:c r="Q11" s="32" t="n">
        <x:f>P11/135</x:f>
        <x:v>0</x:v>
      </x:c>
      <x:c r="R11" s="32" t="str">
        <x:f>IF(J11=0,"",Q11/J11)</x:f>
      </x:c>
      <x:c r="S11" s="33"/>
      <x:c r="T11" s="26" t="str">
        <x:v>NR</x:v>
      </x:c>
      <x:c r="U11" s="26" t="str">
        <x:v>NR</x:v>
      </x:c>
      <x:c r="V11" s="26" t="str"/>
      <x:c r="W11" s="26" t="str">
        <x:v>PP3; CPIA1; CPIA2; CPIA4</x:v>
      </x:c>
      <x:c r="X11" s="26" t="str">
        <x:v>S01; S12</x:v>
      </x:c>
      <x:c r="Y11" s="26" t="str">
        <x:v>Crítica</x:v>
      </x:c>
      <x:c r="Z11" s="26" t="str">
        <x:v>AUSENCIA</x:v>
      </x:c>
      <x:c r="AA11" s="26" t="str">
        <x:v>INTEGRAR</x:v>
      </x:c>
      <x:c r="AB11" s="26" t="str">
        <x:v>Crítica</x:v>
      </x:c>
      <x:c r="AC11" s="26" t="str">
        <x:v>Integrar análisis de datos/ML/IA en Estadística, Programación, Simulación y proyectos; evitar crear una materia aislada si puede articularse una secuencia.</x:v>
      </x:c>
    </x:row>
    <x:row r="12">
      <x:c r="A12" s="26" t="str">
        <x:v>A02</x:v>
      </x:c>
      <x:c r="B12" s="26" t="str">
        <x:v>Física y Química Fundamental</x:v>
      </x:c>
      <x:c r="C12" s="26" t="str">
        <x:v>F0201</x:v>
      </x:c>
      <x:c r="D12" s="26" t="str">
        <x:v>Física general y aplicada</x:v>
      </x:c>
      <x:c r="E12" s="32" t="n">
        <x:v>1</x:v>
      </x:c>
      <x:c r="F12" s="32" t="n">
        <x:v>1</x:v>
      </x:c>
      <x:c r="G12" s="32" t="n">
        <x:v>0.2857142857142857</x:v>
      </x:c>
      <x:c r="H12" s="26" t="str">
        <x:v>Universal / núcleo</x:v>
      </x:c>
      <x:c r="I12" s="26" t="str"/>
      <x:c r="J12" s="32" t="n">
        <x:v>0.045370370370370366</x:v>
      </x:c>
      <x:c r="K12" s="33" t="n">
        <x:v>8.333333333333332</x:v>
      </x:c>
      <x:c r="L12" s="26" t="str">
        <x:v>E1 Fundamentos</x:v>
      </x:c>
      <x:c r="M12" s="26" t="str">
        <x:v>N1</x:v>
      </x:c>
      <x:c r="N12" s="26" t="str">
        <x:v>CORE_PRINCIPAL</x:v>
      </x:c>
      <x:c r="O12" s="26" t="str">
        <x:v>FISD134 Mecánica Newtoniana; IAQD242 Física para Ingeniería</x:v>
      </x:c>
      <x:c r="P12" s="26" t="n">
        <x:v>6</x:v>
      </x:c>
      <x:c r="Q12" s="32" t="n">
        <x:f>P12/135</x:f>
        <x:v>0.044444444444444446</x:v>
      </x:c>
      <x:c r="R12" s="32" t="n">
        <x:f>IF(J12=0,"",Q12/J12)</x:f>
        <x:v>0.979591836734694</x:v>
      </x:c>
      <x:c r="S12" s="33" t="n">
        <x:v>5.555555555555555</x:v>
      </x:c>
      <x:c r="T12" s="26" t="str">
        <x:v>E1 Fundamentos</x:v>
      </x:c>
      <x:c r="U12" s="26" t="str">
        <x:v>N1</x:v>
      </x:c>
      <x:c r="V12" s="26" t="str">
        <x:v>FISD134L</x:v>
      </x:c>
      <x:c r="W12" s="26" t="str">
        <x:v>CPIA1</x:v>
      </x:c>
      <x:c r="X12" s="26" t="str"/>
      <x:c r="Y12" s="26" t="str"/>
      <x:c r="Z12" s="26" t="str">
        <x:v>CUBIERTA</x:v>
      </x:c>
      <x:c r="AA12" s="26" t="str">
        <x:v>MANTENER</x:v>
      </x:c>
      <x:c r="AB12" s="26" t="str">
        <x:v>Media</x:v>
      </x:c>
      <x:c r="AC12" s="26" t="str">
        <x:v>Cobertura explícita en la malla EPN y sin brecha prioritaria suficiente para justificar aumento de carga.</x:v>
      </x:c>
    </x:row>
    <x:row r="13">
      <x:c r="A13" s="26" t="str">
        <x:v>A02</x:v>
      </x:c>
      <x:c r="B13" s="26" t="str">
        <x:v>Física y Química Fundamental</x:v>
      </x:c>
      <x:c r="C13" s="26" t="str">
        <x:v>F0202</x:v>
      </x:c>
      <x:c r="D13" s="26" t="str">
        <x:v>Química general e inorgánica</x:v>
      </x:c>
      <x:c r="E13" s="32" t="n">
        <x:v>1</x:v>
      </x:c>
      <x:c r="F13" s="32" t="n">
        <x:v>1</x:v>
      </x:c>
      <x:c r="G13" s="32" t="n">
        <x:v>0.14285714285714285</x:v>
      </x:c>
      <x:c r="H13" s="26" t="str">
        <x:v>Universal / núcleo</x:v>
      </x:c>
      <x:c r="I13" s="26" t="str"/>
      <x:c r="J13" s="32" t="n">
        <x:v>0.04212962962962963</x:v>
      </x:c>
      <x:c r="K13" s="33" t="n">
        <x:v>8.333333333333332</x:v>
      </x:c>
      <x:c r="L13" s="26" t="str">
        <x:v>E1 Fundamentos</x:v>
      </x:c>
      <x:c r="M13" s="26" t="str">
        <x:v>N1</x:v>
      </x:c>
      <x:c r="N13" s="26" t="str">
        <x:v>CORE_PRINCIPAL</x:v>
      </x:c>
      <x:c r="O13" s="26" t="str">
        <x:v>QUID143 Química General; IAQD253 Química Avanzada</x:v>
      </x:c>
      <x:c r="P13" s="26" t="n">
        <x:v>6</x:v>
      </x:c>
      <x:c r="Q13" s="32" t="n">
        <x:f>P13/135</x:f>
        <x:v>0.044444444444444446</x:v>
      </x:c>
      <x:c r="R13" s="32" t="n">
        <x:f>IF(J13=0,"",Q13/J13)</x:f>
        <x:v>1.054945054945055</x:v>
      </x:c>
      <x:c r="S13" s="33" t="n">
        <x:v>5.555555555555555</x:v>
      </x:c>
      <x:c r="T13" s="26" t="str">
        <x:v>E1 Fundamentos</x:v>
      </x:c>
      <x:c r="U13" s="26" t="str">
        <x:v>N1</x:v>
      </x:c>
      <x:c r="V13" s="26" t="str"/>
      <x:c r="W13" s="26" t="str">
        <x:v>CPIA1</x:v>
      </x:c>
      <x:c r="X13" s="26" t="str"/>
      <x:c r="Y13" s="26" t="str"/>
      <x:c r="Z13" s="26" t="str">
        <x:v>CUBIERTA</x:v>
      </x:c>
      <x:c r="AA13" s="26" t="str">
        <x:v>MANTENER</x:v>
      </x:c>
      <x:c r="AB13" s="26" t="str">
        <x:v>Media</x:v>
      </x:c>
      <x:c r="AC13" s="26" t="str">
        <x:v>Cobertura explícita en la malla EPN y sin brecha prioritaria suficiente para justificar aumento de carga.</x:v>
      </x:c>
    </x:row>
    <x:row r="14">
      <x:c r="A14" s="26" t="str">
        <x:v>A02</x:v>
      </x:c>
      <x:c r="B14" s="26" t="str">
        <x:v>Física y Química Fundamental</x:v>
      </x:c>
      <x:c r="C14" s="26" t="str">
        <x:v>F0203</x:v>
      </x:c>
      <x:c r="D14" s="26" t="str">
        <x:v>Química orgánica</x:v>
      </x:c>
      <x:c r="E14" s="32" t="n">
        <x:v>0.38461538461538464</x:v>
      </x:c>
      <x:c r="F14" s="32" t="n">
        <x:v>0.38461538461538464</x:v>
      </x:c>
      <x:c r="G14" s="32" t="n">
        <x:v>0</x:v>
      </x:c>
      <x:c r="H14" s="26" t="str">
        <x:v>Selectiva</x:v>
      </x:c>
      <x:c r="I14" s="26" t="str"/>
      <x:c r="J14" s="32" t="n">
        <x:v>0.013425925925925924</x:v>
      </x:c>
      <x:c r="K14" s="33" t="n">
        <x:v>25</x:v>
      </x:c>
      <x:c r="L14" s="26" t="str">
        <x:v>E1 Fundamentos</x:v>
      </x:c>
      <x:c r="M14" s="26" t="str">
        <x:v>N1</x:v>
      </x:c>
      <x:c r="N14" s="26" t="str">
        <x:v>CORE_PRINCIPAL + CORE_SECUNDARIA</x:v>
      </x:c>
      <x:c r="O14" s="26" t="str">
        <x:v>IAQD343 Química Orgánica I; AGRD443 Química Bioorgánica</x:v>
      </x:c>
      <x:c r="P14" s="26" t="n">
        <x:v>3</x:v>
      </x:c>
      <x:c r="Q14" s="32" t="n">
        <x:f>P14/135</x:f>
        <x:v>0.022222222222222223</x:v>
      </x:c>
      <x:c r="R14" s="32" t="n">
        <x:f>IF(J14=0,"",Q14/J14)</x:f>
        <x:v>1.6551724137931036</x:v>
      </x:c>
      <x:c r="S14" s="33" t="n">
        <x:v>27.77777777777778</x:v>
      </x:c>
      <x:c r="T14" s="26" t="str">
        <x:v>E2 Fundamentos de ingeniería</x:v>
      </x:c>
      <x:c r="U14" s="26" t="str">
        <x:v>N2</x:v>
      </x:c>
      <x:c r="V14" s="26" t="str">
        <x:v>AGRD443L; IAQD343L</x:v>
      </x:c>
      <x:c r="W14" s="26" t="str">
        <x:v>CPIA1</x:v>
      </x:c>
      <x:c r="X14" s="26" t="str"/>
      <x:c r="Y14" s="26" t="str"/>
      <x:c r="Z14" s="26" t="str">
        <x:v>CUBIERTA</x:v>
      </x:c>
      <x:c r="AA14" s="26" t="str">
        <x:v>MANTENER</x:v>
      </x:c>
      <x:c r="AB14" s="26" t="str">
        <x:v>Media</x:v>
      </x:c>
      <x:c r="AC14" s="26" t="str">
        <x:v>Cobertura explícita en la malla EPN y sin brecha prioritaria suficiente para justificar aumento de carga.</x:v>
      </x:c>
    </x:row>
    <x:row r="15">
      <x:c r="A15" s="26" t="str">
        <x:v>A02</x:v>
      </x:c>
      <x:c r="B15" s="26" t="str">
        <x:v>Física y Química Fundamental</x:v>
      </x:c>
      <x:c r="C15" s="26" t="str">
        <x:v>F0204</x:v>
      </x:c>
      <x:c r="D15" s="26" t="str">
        <x:v>Fisicoquímica</x:v>
      </x:c>
      <x:c r="E15" s="32" t="n">
        <x:v>0</x:v>
      </x:c>
      <x:c r="F15" s="32" t="n">
        <x:v>0</x:v>
      </x:c>
      <x:c r="G15" s="32" t="n">
        <x:v>0</x:v>
      </x:c>
      <x:c r="H15" s="26" t="str">
        <x:v>Baja prevalencia</x:v>
      </x:c>
      <x:c r="I15" s="26" t="str"/>
      <x:c r="J15" s="32" t="n">
        <x:v>0</x:v>
      </x:c>
      <x:c r="K15" s="33"/>
      <x:c r="L15" s="26" t="str">
        <x:v>NR</x:v>
      </x:c>
      <x:c r="M15" s="26" t="str">
        <x:v>NR</x:v>
      </x:c>
      <x:c r="N15" s="26" t="str">
        <x:v>AUSENTE</x:v>
      </x:c>
      <x:c r="O15" s="26" t="str"/>
      <x:c r="P15" s="26" t="n">
        <x:v>0</x:v>
      </x:c>
      <x:c r="Q15" s="32" t="n">
        <x:f>P15/135</x:f>
        <x:v>0</x:v>
      </x:c>
      <x:c r="R15" s="32" t="str">
        <x:f>IF(J15=0,"",Q15/J15)</x:f>
      </x:c>
      <x:c r="S15" s="33"/>
      <x:c r="T15" s="26" t="str">
        <x:v>NR</x:v>
      </x:c>
      <x:c r="U15" s="26" t="str">
        <x:v>NR</x:v>
      </x:c>
      <x:c r="V15" s="26" t="str"/>
      <x:c r="W15" s="26" t="str"/>
      <x:c r="X15" s="26" t="str"/>
      <x:c r="Y15" s="26" t="str"/>
      <x:c r="Z15" s="26" t="str">
        <x:v>AUSENCIA</x:v>
      </x:c>
      <x:c r="AA15" s="26" t="str">
        <x:v>NO PRIORIZAR</x:v>
      </x:c>
      <x:c r="AB15" s="26" t="str">
        <x:v>Baja</x:v>
      </x:c>
      <x:c r="AC15" s="26" t="str">
        <x:v>Ausencia sin suficiente evidencia internacional + EPN para justificar una nueva materia en esta fase.</x:v>
      </x:c>
    </x:row>
    <x:row r="16">
      <x:c r="A16" s="26" t="str">
        <x:v>A02</x:v>
      </x:c>
      <x:c r="B16" s="26" t="str">
        <x:v>Física y Química Fundamental</x:v>
      </x:c>
      <x:c r="C16" s="26" t="str">
        <x:v>F0205</x:v>
      </x:c>
      <x:c r="D16" s="26" t="str">
        <x:v>Química analítica general</x:v>
      </x:c>
      <x:c r="E16" s="32" t="n">
        <x:v>0.07692307692307693</x:v>
      </x:c>
      <x:c r="F16" s="32" t="n">
        <x:v>0.07692307692307693</x:v>
      </x:c>
      <x:c r="G16" s="32" t="n">
        <x:v>0.14285714285714285</x:v>
      </x:c>
      <x:c r="H16" s="26" t="str">
        <x:v>Baja prevalencia</x:v>
      </x:c>
      <x:c r="I16" s="26" t="str">
        <x:v>Nicho / especialización</x:v>
      </x:c>
      <x:c r="J16" s="32" t="n">
        <x:v>0.004166666666666667</x:v>
      </x:c>
      <x:c r="K16" s="33" t="n">
        <x:v>58.333333333333336</x:v>
      </x:c>
      <x:c r="L16" s="26" t="str">
        <x:v>E3 Formación profesional</x:v>
      </x:c>
      <x:c r="M16" s="26" t="str">
        <x:v>N1</x:v>
      </x:c>
      <x:c r="N16" s="26" t="str">
        <x:v>AUSENTE</x:v>
      </x:c>
      <x:c r="O16" s="26" t="str"/>
      <x:c r="P16" s="26" t="n">
        <x:v>0</x:v>
      </x:c>
      <x:c r="Q16" s="32" t="n">
        <x:f>P16/135</x:f>
        <x:v>0</x:v>
      </x:c>
      <x:c r="R16" s="32" t="n">
        <x:f>IF(J16=0,"",Q16/J16)</x:f>
        <x:v>0</x:v>
      </x:c>
      <x:c r="S16" s="33"/>
      <x:c r="T16" s="26" t="str">
        <x:v>NR</x:v>
      </x:c>
      <x:c r="U16" s="26" t="str">
        <x:v>NR</x:v>
      </x:c>
      <x:c r="V16" s="26" t="str"/>
      <x:c r="W16" s="26" t="str"/>
      <x:c r="X16" s="26" t="str"/>
      <x:c r="Y16" s="26" t="str"/>
      <x:c r="Z16" s="26" t="str">
        <x:v>AUSENCIA</x:v>
      </x:c>
      <x:c r="AA16" s="26" t="str">
        <x:v>NO PRIORIZAR</x:v>
      </x:c>
      <x:c r="AB16" s="26" t="str">
        <x:v>Baja</x:v>
      </x:c>
      <x:c r="AC16" s="26" t="str">
        <x:v>Ausencia sin suficiente evidencia internacional + EPN para justificar una nueva materia en esta fase.</x:v>
      </x:c>
    </x:row>
    <x:row r="17">
      <x:c r="A17" s="26" t="str">
        <x:v>A03</x:v>
      </x:c>
      <x:c r="B17" s="26" t="str">
        <x:v>Biología, Bioquímica, Microbiología y Biotecnología</x:v>
      </x:c>
      <x:c r="C17" s="26" t="str">
        <x:v>F0301</x:v>
      </x:c>
      <x:c r="D17" s="26" t="str">
        <x:v>Biología y fisiología</x:v>
      </x:c>
      <x:c r="E17" s="32" t="n">
        <x:v>0.7692307692307693</x:v>
      </x:c>
      <x:c r="F17" s="32" t="n">
        <x:v>0.7692307692307693</x:v>
      </x:c>
      <x:c r="G17" s="32" t="n">
        <x:v>0.42857142857142855</x:v>
      </x:c>
      <x:c r="H17" s="26" t="str">
        <x:v>Universal / núcleo</x:v>
      </x:c>
      <x:c r="I17" s="26" t="str"/>
      <x:c r="J17" s="32" t="n">
        <x:v>0.029108796296296296</x:v>
      </x:c>
      <x:c r="K17" s="33" t="n">
        <x:v>8.333333333333332</x:v>
      </x:c>
      <x:c r="L17" s="26" t="str">
        <x:v>E1 Fundamentos</x:v>
      </x:c>
      <x:c r="M17" s="26" t="str">
        <x:v>N1</x:v>
      </x:c>
      <x:c r="N17" s="26" t="str">
        <x:v>CORE_PRINCIPAL</x:v>
      </x:c>
      <x:c r="O17" s="26" t="str">
        <x:v>IAQD462 Biología</x:v>
      </x:c>
      <x:c r="P17" s="26" t="n">
        <x:v>2</x:v>
      </x:c>
      <x:c r="Q17" s="32" t="n">
        <x:f>P17/135</x:f>
        <x:v>0.014814814814814815</x:v>
      </x:c>
      <x:c r="R17" s="32" t="n">
        <x:f>IF(J17=0,"",Q17/J17)</x:f>
        <x:v>0.5089463220675945</x:v>
      </x:c>
      <x:c r="S17" s="33" t="n">
        <x:v>38.88888888888889</x:v>
      </x:c>
      <x:c r="T17" s="26" t="str">
        <x:v>E2 Fundamentos de ingeniería</x:v>
      </x:c>
      <x:c r="U17" s="26" t="str">
        <x:v>N1</x:v>
      </x:c>
      <x:c r="V17" s="26" t="str"/>
      <x:c r="W17" s="26" t="str"/>
      <x:c r="X17" s="26" t="str"/>
      <x:c r="Y17" s="26" t="str"/>
      <x:c r="Z17" s="26" t="str">
        <x:v>COBERTURA_PRESENTE_PERO_INSUFICIENTE/ACTUALIZAR</x:v>
      </x:c>
      <x:c r="AA17" s="26" t="str">
        <x:v>REFORZAR</x:v>
      </x:c>
      <x:c r="AB17" s="26" t="str">
        <x:v>Muy alta</x:v>
      </x:c>
      <x:c r="AC17" s="26" t="str">
        <x:v>La familia está presente, pero su peso obligatorio EPN es sensiblemente menor que el promedio del benchmark Core.</x:v>
      </x:c>
    </x:row>
    <x:row r="18">
      <x:c r="A18" s="26" t="str">
        <x:v>A03</x:v>
      </x:c>
      <x:c r="B18" s="26" t="str">
        <x:v>Biología, Bioquímica, Microbiología y Biotecnología</x:v>
      </x:c>
      <x:c r="C18" s="26" t="str">
        <x:v>F0302</x:v>
      </x:c>
      <x:c r="D18" s="26" t="str">
        <x:v>Bioquímica y metabolismo</x:v>
      </x:c>
      <x:c r="E18" s="32" t="n">
        <x:v>0.6923076923076923</x:v>
      </x:c>
      <x:c r="F18" s="32" t="n">
        <x:v>0.6923076923076923</x:v>
      </x:c>
      <x:c r="G18" s="32" t="n">
        <x:v>0.42857142857142855</x:v>
      </x:c>
      <x:c r="H18" s="26" t="str">
        <x:v>Consolidada</x:v>
      </x:c>
      <x:c r="I18" s="26" t="str"/>
      <x:c r="J18" s="32" t="n">
        <x:v>0.02476851851851852</x:v>
      </x:c>
      <x:c r="K18" s="33" t="n">
        <x:v>25</x:v>
      </x:c>
      <x:c r="L18" s="26" t="str">
        <x:v>E1 Fundamentos</x:v>
      </x:c>
      <x:c r="M18" s="26" t="str">
        <x:v>N1</x:v>
      </x:c>
      <x:c r="N18" s="26" t="str">
        <x:v>CORE_PRINCIPAL</x:v>
      </x:c>
      <x:c r="O18" s="26" t="str">
        <x:v>AGRD443 Química Bioorgánica; IAQD562 Bioquímica</x:v>
      </x:c>
      <x:c r="P18" s="26" t="n">
        <x:v>5</x:v>
      </x:c>
      <x:c r="Q18" s="32" t="n">
        <x:f>P18/135</x:f>
        <x:v>0.037037037037037035</x:v>
      </x:c>
      <x:c r="R18" s="32" t="n">
        <x:f>IF(J18=0,"",Q18/J18)</x:f>
        <x:v>1.4953271028037383</x:v>
      </x:c>
      <x:c r="S18" s="33" t="n">
        <x:v>38.88888888888889</x:v>
      </x:c>
      <x:c r="T18" s="26" t="str">
        <x:v>E2 Fundamentos de ingeniería</x:v>
      </x:c>
      <x:c r="U18" s="26" t="str">
        <x:v>N2</x:v>
      </x:c>
      <x:c r="V18" s="26" t="str">
        <x:v>AGRD443L; IAQD562L</x:v>
      </x:c>
      <x:c r="W18" s="26" t="str"/>
      <x:c r="X18" s="26" t="str"/>
      <x:c r="Y18" s="26" t="str"/>
      <x:c r="Z18" s="26" t="str">
        <x:v>CUBIERTA</x:v>
      </x:c>
      <x:c r="AA18" s="26" t="str">
        <x:v>MANTENER</x:v>
      </x:c>
      <x:c r="AB18" s="26" t="str">
        <x:v>Media</x:v>
      </x:c>
      <x:c r="AC18" s="26" t="str">
        <x:v>Cobertura explícita en la malla EPN y sin brecha prioritaria suficiente para justificar aumento de carga.</x:v>
      </x:c>
    </x:row>
    <x:row r="19">
      <x:c r="A19" s="26" t="str">
        <x:v>A03</x:v>
      </x:c>
      <x:c r="B19" s="26" t="str">
        <x:v>Biología, Bioquímica, Microbiología y Biotecnología</x:v>
      </x:c>
      <x:c r="C19" s="26" t="str">
        <x:v>F0303</x:v>
      </x:c>
      <x:c r="D19" s="26" t="str">
        <x:v>Microbiología general</x:v>
      </x:c>
      <x:c r="E19" s="32" t="n">
        <x:v>0.7692307692307693</x:v>
      </x:c>
      <x:c r="F19" s="32" t="n">
        <x:v>0.7692307692307693</x:v>
      </x:c>
      <x:c r="G19" s="32" t="n">
        <x:v>0.2857142857142857</x:v>
      </x:c>
      <x:c r="H19" s="26" t="str">
        <x:v>Universal / núcleo</x:v>
      </x:c>
      <x:c r="I19" s="26" t="str"/>
      <x:c r="J19" s="32" t="n">
        <x:v>0.037962962962962955</x:v>
      </x:c>
      <x:c r="K19" s="33" t="n">
        <x:v>41.66666666666667</x:v>
      </x:c>
      <x:c r="L19" s="26" t="str">
        <x:v>E2 Fundamentos de ingeniería</x:v>
      </x:c>
      <x:c r="M19" s="26" t="str">
        <x:v>N1</x:v>
      </x:c>
      <x:c r="N19" s="26" t="str">
        <x:v>AUSENTE</x:v>
      </x:c>
      <x:c r="O19" s="26" t="str"/>
      <x:c r="P19" s="26" t="n">
        <x:v>0</x:v>
      </x:c>
      <x:c r="Q19" s="32" t="n">
        <x:f>P19/135</x:f>
        <x:v>0</x:v>
      </x:c>
      <x:c r="R19" s="32" t="n">
        <x:f>IF(J19=0,"",Q19/J19)</x:f>
        <x:v>0</x:v>
      </x:c>
      <x:c r="S19" s="33"/>
      <x:c r="T19" s="26" t="str">
        <x:v>NR</x:v>
      </x:c>
      <x:c r="U19" s="26" t="str">
        <x:v>NR</x:v>
      </x:c>
      <x:c r="V19" s="26" t="str"/>
      <x:c r="W19" s="26" t="str"/>
      <x:c r="X19" s="26" t="str"/>
      <x:c r="Y19" s="26" t="str"/>
      <x:c r="Z19" s="26" t="str">
        <x:v>AUSENCIA</x:v>
      </x:c>
      <x:c r="AA19" s="26" t="str">
        <x:v>INTEGRAR</x:v>
      </x:c>
      <x:c r="AB19" s="26" t="str">
        <x:v>Muy alta</x:v>
      </x:c>
      <x:c r="AC19" s="26" t="str">
        <x:v>Microbiología general es universal, pero EPN ya tiene Microbiología Industrial y de Alimentos; incorporar explícitamente fundamentos y prerrequisitos microbiológicos antes de añadir otra materia.</x:v>
      </x:c>
    </x:row>
    <x:row r="20">
      <x:c r="A20" s="26" t="str">
        <x:v>A03</x:v>
      </x:c>
      <x:c r="B20" s="26" t="str">
        <x:v>Biología, Bioquímica, Microbiología y Biotecnología</x:v>
      </x:c>
      <x:c r="C20" s="26" t="str">
        <x:v>F0304</x:v>
      </x:c>
      <x:c r="D20" s="26" t="str">
        <x:v>Microbiología alimentaria e industrial</x:v>
      </x:c>
      <x:c r="E20" s="32" t="n">
        <x:v>0.23076923076923078</x:v>
      </x:c>
      <x:c r="F20" s="32" t="n">
        <x:v>0.15384615384615385</x:v>
      </x:c>
      <x:c r="G20" s="32" t="n">
        <x:v>0.2857142857142857</x:v>
      </x:c>
      <x:c r="H20" s="26" t="str">
        <x:v>Baja prevalencia</x:v>
      </x:c>
      <x:c r="I20" s="26" t="str">
        <x:v>Nicho / especialización</x:v>
      </x:c>
      <x:c r="J20" s="32" t="n">
        <x:v>0.004398148148148148</x:v>
      </x:c>
      <x:c r="K20" s="33" t="n">
        <x:v>58.333333333333336</x:v>
      </x:c>
      <x:c r="L20" s="26" t="str">
        <x:v>E3 Formación profesional</x:v>
      </x:c>
      <x:c r="M20" s="26" t="str">
        <x:v>N1</x:v>
      </x:c>
      <x:c r="N20" s="26" t="str">
        <x:v>CORE_PRINCIPAL</x:v>
      </x:c>
      <x:c r="O20" s="26" t="str">
        <x:v>AGRD623 Microbiología Industrial y de Alimentos</x:v>
      </x:c>
      <x:c r="P20" s="26" t="n">
        <x:v>3</x:v>
      </x:c>
      <x:c r="Q20" s="32" t="n">
        <x:f>P20/135</x:f>
        <x:v>0.022222222222222223</x:v>
      </x:c>
      <x:c r="R20" s="32" t="n">
        <x:f>IF(J20=0,"",Q20/J20)</x:f>
        <x:v>5.052631578947368</x:v>
      </x:c>
      <x:c r="S20" s="33" t="n">
        <x:v>61.111111111111114</x:v>
      </x:c>
      <x:c r="T20" s="26" t="str">
        <x:v>E3 Formación profesional</x:v>
      </x:c>
      <x:c r="U20" s="26" t="str">
        <x:v>N2</x:v>
      </x:c>
      <x:c r="V20" s="26" t="str">
        <x:v>AGRD623L</x:v>
      </x:c>
      <x:c r="W20" s="26" t="str"/>
      <x:c r="X20" s="26" t="str"/>
      <x:c r="Y20" s="26" t="str"/>
      <x:c r="Z20" s="26" t="str">
        <x:v>CUBIERTA</x:v>
      </x:c>
      <x:c r="AA20" s="26" t="str">
        <x:v>MANTENER</x:v>
      </x:c>
      <x:c r="AB20" s="26" t="str">
        <x:v>Media</x:v>
      </x:c>
      <x:c r="AC20" s="26" t="str">
        <x:v>Cobertura explícita en la malla EPN y sin brecha prioritaria suficiente para justificar aumento de carga.</x:v>
      </x:c>
    </x:row>
    <x:row r="21">
      <x:c r="A21" s="26" t="str">
        <x:v>A03</x:v>
      </x:c>
      <x:c r="B21" s="26" t="str">
        <x:v>Biología, Bioquímica, Microbiología y Biotecnología</x:v>
      </x:c>
      <x:c r="C21" s="26" t="str">
        <x:v>F0305</x:v>
      </x:c>
      <x:c r="D21" s="26" t="str">
        <x:v>Biotecnología y biología molecular</x:v>
      </x:c>
      <x:c r="E21" s="32" t="n">
        <x:v>0.23076923076923078</x:v>
      </x:c>
      <x:c r="F21" s="32" t="n">
        <x:v>0.23076923076923078</x:v>
      </x:c>
      <x:c r="G21" s="32" t="n">
        <x:v>0.42857142857142855</x:v>
      </x:c>
      <x:c r="H21" s="26" t="str">
        <x:v>Baja prevalencia</x:v>
      </x:c>
      <x:c r="I21" s="26" t="str">
        <x:v>Nicho / especialización</x:v>
      </x:c>
      <x:c r="J21" s="32" t="n">
        <x:v>0.012962962962962963</x:v>
      </x:c>
      <x:c r="K21" s="33" t="n">
        <x:v>58.333333333333336</x:v>
      </x:c>
      <x:c r="L21" s="26" t="str">
        <x:v>E3 Formación profesional</x:v>
      </x:c>
      <x:c r="M21" s="26" t="str">
        <x:v>N1</x:v>
      </x:c>
      <x:c r="N21" s="26" t="str">
        <x:v>CORE_SECUNDARIA + ITINERARIO</x:v>
      </x:c>
      <x:c r="O21" s="26" t="str">
        <x:v>AGRD723 Bioingeniería; AGRD802 Biotecnología Agroindustrial I; AGRD902 Biotecnología Agroindustrial II</x:v>
      </x:c>
      <x:c r="P21" s="26" t="n">
        <x:v>0</x:v>
      </x:c>
      <x:c r="Q21" s="32" t="n">
        <x:f>P21/135</x:f>
        <x:v>0</x:v>
      </x:c>
      <x:c r="R21" s="32" t="n">
        <x:f>IF(J21=0,"",Q21/J21)</x:f>
        <x:v>0</x:v>
      </x:c>
      <x:c r="S21" s="33" t="n">
        <x:v>72.22222222222221</x:v>
      </x:c>
      <x:c r="T21" s="26" t="str">
        <x:v>E3 Formación profesional</x:v>
      </x:c>
      <x:c r="U21" s="26" t="str">
        <x:v>N3</x:v>
      </x:c>
      <x:c r="V21" s="26" t="str">
        <x:v>AGRD723L</x:v>
      </x:c>
      <x:c r="W21" s="26" t="str">
        <x:v>PP3; CPIA4</x:v>
      </x:c>
      <x:c r="X21" s="26" t="str"/>
      <x:c r="Y21" s="26" t="str"/>
      <x:c r="Z21" s="26" t="str">
        <x:v>COBERTURA_SECUNDARIA/IMPLÍCITA</x:v>
      </x:c>
      <x:c r="AA21" s="26" t="str">
        <x:v>INTEGRAR</x:v>
      </x:c>
      <x:c r="AB21" s="26" t="str">
        <x:v>Alta</x:v>
      </x:c>
      <x:c r="AC21" s="26" t="str">
        <x:v>La cobertura existe solo como componente secundario; conviene hacerla explícita dentro de una o varias asignaturas existentes.</x:v>
      </x:c>
    </x:row>
    <x:row r="22">
      <x:c r="A22" s="26" t="str">
        <x:v>A03</x:v>
      </x:c>
      <x:c r="B22" s="26" t="str">
        <x:v>Biología, Bioquímica, Microbiología y Biotecnología</x:v>
      </x:c>
      <x:c r="C22" s="26" t="str">
        <x:v>F0306</x:v>
      </x:c>
      <x:c r="D22" s="26" t="str">
        <x:v>Bioprocesos y bioproducción</x:v>
      </x:c>
      <x:c r="E22" s="32" t="n">
        <x:v>0</x:v>
      </x:c>
      <x:c r="F22" s="32" t="n">
        <x:v>0</x:v>
      </x:c>
      <x:c r="G22" s="32" t="n">
        <x:v>0.2857142857142857</x:v>
      </x:c>
      <x:c r="H22" s="26" t="str">
        <x:v>Baja prevalencia</x:v>
      </x:c>
      <x:c r="I22" s="26" t="str"/>
      <x:c r="J22" s="32" t="n">
        <x:v>0</x:v>
      </x:c>
      <x:c r="K22" s="33"/>
      <x:c r="L22" s="26" t="str">
        <x:v>NR</x:v>
      </x:c>
      <x:c r="M22" s="26" t="str">
        <x:v>NR</x:v>
      </x:c>
      <x:c r="N22" s="26" t="str">
        <x:v>CORE_PRINCIPAL + ITINERARIO</x:v>
      </x:c>
      <x:c r="O22" s="26" t="str">
        <x:v>AGRD723 Bioingeniería; AGRD802 Biotecnología Agroindustrial I; AGRD902 Biotecnología Agroindustrial II</x:v>
      </x:c>
      <x:c r="P22" s="26" t="n">
        <x:v>3</x:v>
      </x:c>
      <x:c r="Q22" s="32" t="n">
        <x:f>P22/135</x:f>
        <x:v>0.022222222222222223</x:v>
      </x:c>
      <x:c r="R22" s="32" t="str">
        <x:f>IF(J22=0,"",Q22/J22)</x:f>
      </x:c>
      <x:c r="S22" s="33" t="n">
        <x:v>72.22222222222221</x:v>
      </x:c>
      <x:c r="T22" s="26" t="str">
        <x:v>E3 Formación profesional</x:v>
      </x:c>
      <x:c r="U22" s="26" t="str">
        <x:v>N3</x:v>
      </x:c>
      <x:c r="V22" s="26" t="str">
        <x:v>AGRD723L</x:v>
      </x:c>
      <x:c r="W22" s="26" t="str">
        <x:v>PP3; CPIA4</x:v>
      </x:c>
      <x:c r="X22" s="26" t="str"/>
      <x:c r="Y22" s="26" t="str"/>
      <x:c r="Z22" s="26" t="str">
        <x:v>CUBIERTA</x:v>
      </x:c>
      <x:c r="AA22" s="26" t="str">
        <x:v>MANTENER</x:v>
      </x:c>
      <x:c r="AB22" s="26" t="str">
        <x:v>Media</x:v>
      </x:c>
      <x:c r="AC22" s="26" t="str">
        <x:v>Cobertura explícita en la malla EPN y sin brecha prioritaria suficiente para justificar aumento de carga.</x:v>
      </x:c>
    </x:row>
    <x:row r="23">
      <x:c r="A23" s="26" t="str">
        <x:v>A04</x:v>
      </x:c>
      <x:c r="B23" s="26" t="str">
        <x:v>Ciencias de Ingeniería</x:v>
      </x:c>
      <x:c r="C23" s="26" t="str">
        <x:v>F0401</x:v>
      </x:c>
      <x:c r="D23" s="26" t="str">
        <x:v>Termodinámica</x:v>
      </x:c>
      <x:c r="E23" s="32" t="n">
        <x:v>0.23076923076923078</x:v>
      </x:c>
      <x:c r="F23" s="32" t="n">
        <x:v>0.23076923076923078</x:v>
      </x:c>
      <x:c r="G23" s="32" t="n">
        <x:v>0.14285714285714285</x:v>
      </x:c>
      <x:c r="H23" s="26" t="str">
        <x:v>Baja prevalencia</x:v>
      </x:c>
      <x:c r="I23" s="26" t="str">
        <x:v>Nicho / especialización</x:v>
      </x:c>
      <x:c r="J23" s="32" t="n">
        <x:v>0.00787037037037037</x:v>
      </x:c>
      <x:c r="K23" s="33" t="n">
        <x:v>58.333333333333336</x:v>
      </x:c>
      <x:c r="L23" s="26" t="str">
        <x:v>E3 Formación profesional</x:v>
      </x:c>
      <x:c r="M23" s="26" t="str">
        <x:v>N1</x:v>
      </x:c>
      <x:c r="N23" s="26" t="str">
        <x:v>CORE_PRINCIPAL</x:v>
      </x:c>
      <x:c r="O23" s="26" t="str">
        <x:v>IAQD333 Termodinámica I; IAQD432 Termodinámica II</x:v>
      </x:c>
      <x:c r="P23" s="26" t="n">
        <x:v>5</x:v>
      </x:c>
      <x:c r="Q23" s="32" t="n">
        <x:f>P23/135</x:f>
        <x:v>0.037037037037037035</x:v>
      </x:c>
      <x:c r="R23" s="32" t="n">
        <x:f>IF(J23=0,"",Q23/J23)</x:f>
        <x:v>4.705882352941177</x:v>
      </x:c>
      <x:c r="S23" s="33" t="n">
        <x:v>27.77777777777778</x:v>
      </x:c>
      <x:c r="T23" s="26" t="str">
        <x:v>E2 Fundamentos de ingeniería</x:v>
      </x:c>
      <x:c r="U23" s="26" t="str">
        <x:v>N2</x:v>
      </x:c>
      <x:c r="V23" s="26" t="str">
        <x:v>IAQD432L</x:v>
      </x:c>
      <x:c r="W23" s="26" t="str">
        <x:v>PP1; CPIA1; CPIA2</x:v>
      </x:c>
      <x:c r="X23" s="26" t="str"/>
      <x:c r="Y23" s="26" t="str"/>
      <x:c r="Z23" s="26" t="str">
        <x:v>CUBIERTA</x:v>
      </x:c>
      <x:c r="AA23" s="26" t="str">
        <x:v>MANTENER</x:v>
      </x:c>
      <x:c r="AB23" s="26" t="str">
        <x:v>Media</x:v>
      </x:c>
      <x:c r="AC23" s="26" t="str">
        <x:v>Familia explícitamente coherente con la identidad ingenieril EPN; su baja frecuencia en Food Science no justifica eliminación.</x:v>
      </x:c>
    </x:row>
    <x:row r="24">
      <x:c r="A24" s="26" t="str">
        <x:v>A04</x:v>
      </x:c>
      <x:c r="B24" s="26" t="str">
        <x:v>Ciencias de Ingeniería</x:v>
      </x:c>
      <x:c r="C24" s="26" t="str">
        <x:v>F0402</x:v>
      </x:c>
      <x:c r="D24" s="26" t="str">
        <x:v>Mecánica de fluidos e hidráulica</x:v>
      </x:c>
      <x:c r="E24" s="32" t="n">
        <x:v>0.38461538461538464</x:v>
      </x:c>
      <x:c r="F24" s="32" t="n">
        <x:v>0.38461538461538464</x:v>
      </x:c>
      <x:c r="G24" s="32" t="n">
        <x:v>0.14285714285714285</x:v>
      </x:c>
      <x:c r="H24" s="26" t="str">
        <x:v>Selectiva</x:v>
      </x:c>
      <x:c r="I24" s="26" t="str"/>
      <x:c r="J24" s="32" t="n">
        <x:v>0.008043981481481482</x:v>
      </x:c>
      <x:c r="K24" s="33" t="n">
        <x:v>43.75</x:v>
      </x:c>
      <x:c r="L24" s="26" t="str">
        <x:v>E2 Fundamentos de ingeniería</x:v>
      </x:c>
      <x:c r="M24" s="26" t="str">
        <x:v>N1</x:v>
      </x:c>
      <x:c r="N24" s="26" t="str">
        <x:v>CORE_PRINCIPAL</x:v>
      </x:c>
      <x:c r="O24" s="26" t="str">
        <x:v>AGRD522 Mecánica de Fluidos</x:v>
      </x:c>
      <x:c r="P24" s="26" t="n">
        <x:v>2</x:v>
      </x:c>
      <x:c r="Q24" s="32" t="n">
        <x:f>P24/135</x:f>
        <x:v>0.014814814814814815</x:v>
      </x:c>
      <x:c r="R24" s="32" t="n">
        <x:f>IF(J24=0,"",Q24/J24)</x:f>
        <x:v>1.841726618705036</x:v>
      </x:c>
      <x:c r="S24" s="33" t="n">
        <x:v>50</x:v>
      </x:c>
      <x:c r="T24" s="26" t="str">
        <x:v>E2 Fundamentos de ingeniería</x:v>
      </x:c>
      <x:c r="U24" s="26" t="str">
        <x:v>N2</x:v>
      </x:c>
      <x:c r="V24" s="26" t="str">
        <x:v>AGRD522L</x:v>
      </x:c>
      <x:c r="W24" s="26" t="str">
        <x:v>PP1; CPIA1; CPIA2</x:v>
      </x:c>
      <x:c r="X24" s="26" t="str"/>
      <x:c r="Y24" s="26" t="str"/>
      <x:c r="Z24" s="26" t="str">
        <x:v>CUBIERTA</x:v>
      </x:c>
      <x:c r="AA24" s="26" t="str">
        <x:v>MANTENER</x:v>
      </x:c>
      <x:c r="AB24" s="26" t="str">
        <x:v>Media</x:v>
      </x:c>
      <x:c r="AC24" s="26" t="str">
        <x:v>Familia explícitamente coherente con la identidad ingenieril EPN; su baja frecuencia en Food Science no justifica eliminación.</x:v>
      </x:c>
    </x:row>
    <x:row r="25">
      <x:c r="A25" s="26" t="str">
        <x:v>A04</x:v>
      </x:c>
      <x:c r="B25" s="26" t="str">
        <x:v>Ciencias de Ingeniería</x:v>
      </x:c>
      <x:c r="C25" s="26" t="str">
        <x:v>F0403</x:v>
      </x:c>
      <x:c r="D25" s="26" t="str">
        <x:v>Transferencia de calor</x:v>
      </x:c>
      <x:c r="E25" s="32" t="n">
        <x:v>0.23076923076923078</x:v>
      </x:c>
      <x:c r="F25" s="32" t="n">
        <x:v>0.23076923076923078</x:v>
      </x:c>
      <x:c r="G25" s="32" t="n">
        <x:v>0</x:v>
      </x:c>
      <x:c r="H25" s="26" t="str">
        <x:v>Baja prevalencia</x:v>
      </x:c>
      <x:c r="I25" s="26" t="str">
        <x:v>Nicho / especialización</x:v>
      </x:c>
      <x:c r="J25" s="32" t="n">
        <x:v>0.007175925925925926</x:v>
      </x:c>
      <x:c r="K25" s="33" t="n">
        <x:v>25</x:v>
      </x:c>
      <x:c r="L25" s="26" t="str">
        <x:v>E1 Fundamentos</x:v>
      </x:c>
      <x:c r="M25" s="26" t="str">
        <x:v>N1</x:v>
      </x:c>
      <x:c r="N25" s="26" t="str">
        <x:v>CORE_PRINCIPAL</x:v>
      </x:c>
      <x:c r="O25" s="26" t="str">
        <x:v>AGRD534 Transferencia de Masa y Calor</x:v>
      </x:c>
      <x:c r="P25" s="26" t="n">
        <x:v>4</x:v>
      </x:c>
      <x:c r="Q25" s="32" t="n">
        <x:f>P25/135</x:f>
        <x:v>0.02962962962962963</x:v>
      </x:c>
      <x:c r="R25" s="32" t="n">
        <x:f>IF(J25=0,"",Q25/J25)</x:f>
        <x:v>4.129032258064516</x:v>
      </x:c>
      <x:c r="S25" s="33" t="n">
        <x:v>50</x:v>
      </x:c>
      <x:c r="T25" s="26" t="str">
        <x:v>E2 Fundamentos de ingeniería</x:v>
      </x:c>
      <x:c r="U25" s="26" t="str">
        <x:v>N2</x:v>
      </x:c>
      <x:c r="V25" s="26" t="str">
        <x:v>AGRD534L</x:v>
      </x:c>
      <x:c r="W25" s="26" t="str">
        <x:v>PP1; CPIA1; CPIA2</x:v>
      </x:c>
      <x:c r="X25" s="26" t="str"/>
      <x:c r="Y25" s="26" t="str"/>
      <x:c r="Z25" s="26" t="str">
        <x:v>CUBIERTA</x:v>
      </x:c>
      <x:c r="AA25" s="26" t="str">
        <x:v>MANTENER</x:v>
      </x:c>
      <x:c r="AB25" s="26" t="str">
        <x:v>Media</x:v>
      </x:c>
      <x:c r="AC25" s="26" t="str">
        <x:v>Familia explícitamente coherente con la identidad ingenieril EPN; su baja frecuencia en Food Science no justifica eliminación.</x:v>
      </x:c>
    </x:row>
    <x:row r="26">
      <x:c r="A26" s="26" t="str">
        <x:v>A04</x:v>
      </x:c>
      <x:c r="B26" s="26" t="str">
        <x:v>Ciencias de Ingeniería</x:v>
      </x:c>
      <x:c r="C26" s="26" t="str">
        <x:v>F0404</x:v>
      </x:c>
      <x:c r="D26" s="26" t="str">
        <x:v>Transferencia de masa</x:v>
      </x:c>
      <x:c r="E26" s="32" t="n">
        <x:v>0</x:v>
      </x:c>
      <x:c r="F26" s="32" t="n">
        <x:v>0</x:v>
      </x:c>
      <x:c r="G26" s="32" t="n">
        <x:v>0.14285714285714285</x:v>
      </x:c>
      <x:c r="H26" s="26" t="str">
        <x:v>Baja prevalencia</x:v>
      </x:c>
      <x:c r="I26" s="26" t="str"/>
      <x:c r="J26" s="32" t="n">
        <x:v>0</x:v>
      </x:c>
      <x:c r="K26" s="33"/>
      <x:c r="L26" s="26" t="str">
        <x:v>NR</x:v>
      </x:c>
      <x:c r="M26" s="26" t="str">
        <x:v>NR</x:v>
      </x:c>
      <x:c r="N26" s="26" t="str">
        <x:v>CORE_SECUNDARIA</x:v>
      </x:c>
      <x:c r="O26" s="26" t="str">
        <x:v>AGRD534 Transferencia de Masa y Calor</x:v>
      </x:c>
      <x:c r="P26" s="26" t="n">
        <x:v>0</x:v>
      </x:c>
      <x:c r="Q26" s="32" t="n">
        <x:f>P26/135</x:f>
        <x:v>0</x:v>
      </x:c>
      <x:c r="R26" s="32" t="str">
        <x:f>IF(J26=0,"",Q26/J26)</x:f>
      </x:c>
      <x:c r="S26" s="33" t="n">
        <x:v>50</x:v>
      </x:c>
      <x:c r="T26" s="26" t="str">
        <x:v>E2 Fundamentos de ingeniería</x:v>
      </x:c>
      <x:c r="U26" s="26" t="str">
        <x:v>N2</x:v>
      </x:c>
      <x:c r="V26" s="26" t="str">
        <x:v>AGRD534L</x:v>
      </x:c>
      <x:c r="W26" s="26" t="str">
        <x:v>PP1; CPIA1; CPIA2</x:v>
      </x:c>
      <x:c r="X26" s="26" t="str"/>
      <x:c r="Y26" s="26" t="str"/>
      <x:c r="Z26" s="26" t="str">
        <x:v>COBERTURA_SECUNDARIA/IMPLÍCITA</x:v>
      </x:c>
      <x:c r="AA26" s="26" t="str">
        <x:v>MANTENER</x:v>
      </x:c>
      <x:c r="AB26" s="26" t="str">
        <x:v>Media</x:v>
      </x:c>
      <x:c r="AC26" s="26" t="str">
        <x:v>Familia explícitamente coherente con la identidad ingenieril EPN; su baja frecuencia en Food Science no justifica eliminación.</x:v>
      </x:c>
    </x:row>
    <x:row r="27">
      <x:c r="A27" s="26" t="str">
        <x:v>A04</x:v>
      </x:c>
      <x:c r="B27" s="26" t="str">
        <x:v>Ciencias de Ingeniería</x:v>
      </x:c>
      <x:c r="C27" s="26" t="str">
        <x:v>F0405</x:v>
      </x:c>
      <x:c r="D27" s="26" t="str">
        <x:v>Mecánica, resistencia y materiales</x:v>
      </x:c>
      <x:c r="E27" s="32" t="n">
        <x:v>0.3076923076923077</x:v>
      </x:c>
      <x:c r="F27" s="32" t="n">
        <x:v>0.3076923076923077</x:v>
      </x:c>
      <x:c r="G27" s="32" t="n">
        <x:v>0</x:v>
      </x:c>
      <x:c r="H27" s="26" t="str">
        <x:v>Selectiva</x:v>
      </x:c>
      <x:c r="I27" s="26" t="str"/>
      <x:c r="J27" s="32" t="n">
        <x:v>0.011168981481481481</x:v>
      </x:c>
      <x:c r="K27" s="33" t="n">
        <x:v>43.75</x:v>
      </x:c>
      <x:c r="L27" s="26" t="str">
        <x:v>E2 Fundamentos de ingeniería</x:v>
      </x:c>
      <x:c r="M27" s="26" t="str">
        <x:v>N1</x:v>
      </x:c>
      <x:c r="N27" s="26" t="str">
        <x:v>AUSENTE</x:v>
      </x:c>
      <x:c r="O27" s="26" t="str"/>
      <x:c r="P27" s="26" t="n">
        <x:v>0</x:v>
      </x:c>
      <x:c r="Q27" s="32" t="n">
        <x:f>P27/135</x:f>
        <x:v>0</x:v>
      </x:c>
      <x:c r="R27" s="32" t="n">
        <x:f>IF(J27=0,"",Q27/J27)</x:f>
        <x:v>0</x:v>
      </x:c>
      <x:c r="S27" s="33"/>
      <x:c r="T27" s="26" t="str">
        <x:v>NR</x:v>
      </x:c>
      <x:c r="U27" s="26" t="str">
        <x:v>NR</x:v>
      </x:c>
      <x:c r="V27" s="26" t="str"/>
      <x:c r="W27" s="26" t="str"/>
      <x:c r="X27" s="26" t="str"/>
      <x:c r="Y27" s="26" t="str"/>
      <x:c r="Z27" s="26" t="str">
        <x:v>AUSENCIA</x:v>
      </x:c>
      <x:c r="AA27" s="26" t="str">
        <x:v>NO PRIORIZAR</x:v>
      </x:c>
      <x:c r="AB27" s="26" t="str">
        <x:v>Baja</x:v>
      </x:c>
      <x:c r="AC27" s="26" t="str">
        <x:v>Ausencia sin suficiente evidencia internacional + EPN para justificar una nueva materia en esta fase.</x:v>
      </x:c>
    </x:row>
    <x:row r="28">
      <x:c r="A28" s="26" t="str">
        <x:v>A04</x:v>
      </x:c>
      <x:c r="B28" s="26" t="str">
        <x:v>Ciencias de Ingeniería</x:v>
      </x:c>
      <x:c r="C28" s="26" t="str">
        <x:v>F0406</x:v>
      </x:c>
      <x:c r="D28" s="26" t="str">
        <x:v>Estructuras y construcción básica</x:v>
      </x:c>
      <x:c r="E28" s="32" t="n">
        <x:v>0.3076923076923077</x:v>
      </x:c>
      <x:c r="F28" s="32" t="n">
        <x:v>0.3076923076923077</x:v>
      </x:c>
      <x:c r="G28" s="32" t="n">
        <x:v>0</x:v>
      </x:c>
      <x:c r="H28" s="26" t="str">
        <x:v>Selectiva</x:v>
      </x:c>
      <x:c r="I28" s="26" t="str"/>
      <x:c r="J28" s="32" t="n">
        <x:v>0.008333333333333333</x:v>
      </x:c>
      <x:c r="K28" s="33" t="n">
        <x:v>56.25</x:v>
      </x:c>
      <x:c r="L28" s="26" t="str">
        <x:v>E3 Formación profesional</x:v>
      </x:c>
      <x:c r="M28" s="26" t="str">
        <x:v>N1</x:v>
      </x:c>
      <x:c r="N28" s="26" t="str">
        <x:v>AUSENTE</x:v>
      </x:c>
      <x:c r="O28" s="26" t="str"/>
      <x:c r="P28" s="26" t="n">
        <x:v>0</x:v>
      </x:c>
      <x:c r="Q28" s="32" t="n">
        <x:f>P28/135</x:f>
        <x:v>0</x:v>
      </x:c>
      <x:c r="R28" s="32" t="n">
        <x:f>IF(J28=0,"",Q28/J28)</x:f>
        <x:v>0</x:v>
      </x:c>
      <x:c r="S28" s="33"/>
      <x:c r="T28" s="26" t="str">
        <x:v>NR</x:v>
      </x:c>
      <x:c r="U28" s="26" t="str">
        <x:v>NR</x:v>
      </x:c>
      <x:c r="V28" s="26" t="str"/>
      <x:c r="W28" s="26" t="str"/>
      <x:c r="X28" s="26" t="str"/>
      <x:c r="Y28" s="26" t="str"/>
      <x:c r="Z28" s="26" t="str">
        <x:v>AUSENCIA</x:v>
      </x:c>
      <x:c r="AA28" s="26" t="str">
        <x:v>NO PRIORIZAR</x:v>
      </x:c>
      <x:c r="AB28" s="26" t="str">
        <x:v>Baja</x:v>
      </x:c>
      <x:c r="AC28" s="26" t="str">
        <x:v>Ausencia sin suficiente evidencia internacional + EPN para justificar una nueva materia en esta fase.</x:v>
      </x:c>
    </x:row>
    <x:row r="29">
      <x:c r="A29" s="26" t="str">
        <x:v>A04</x:v>
      </x:c>
      <x:c r="B29" s="26" t="str">
        <x:v>Ciencias de Ingeniería</x:v>
      </x:c>
      <x:c r="C29" s="26" t="str">
        <x:v>F0407</x:v>
      </x:c>
      <x:c r="D29" s="26" t="str">
        <x:v>Electrotecnia y electrónica</x:v>
      </x:c>
      <x:c r="E29" s="32" t="n">
        <x:v>0.38461538461538464</x:v>
      </x:c>
      <x:c r="F29" s="32" t="n">
        <x:v>0.3076923076923077</x:v>
      </x:c>
      <x:c r="G29" s="32" t="n">
        <x:v>0</x:v>
      </x:c>
      <x:c r="H29" s="26" t="str">
        <x:v>Selectiva</x:v>
      </x:c>
      <x:c r="I29" s="26" t="str"/>
      <x:c r="J29" s="32" t="n">
        <x:v>0.005729166666666667</x:v>
      </x:c>
      <x:c r="K29" s="33" t="n">
        <x:v>43.75</x:v>
      </x:c>
      <x:c r="L29" s="26" t="str">
        <x:v>E2 Fundamentos de ingeniería</x:v>
      </x:c>
      <x:c r="M29" s="26" t="str">
        <x:v>N1</x:v>
      </x:c>
      <x:c r="N29" s="26" t="str">
        <x:v>AUSENTE</x:v>
      </x:c>
      <x:c r="O29" s="26" t="str"/>
      <x:c r="P29" s="26" t="n">
        <x:v>0</x:v>
      </x:c>
      <x:c r="Q29" s="32" t="n">
        <x:f>P29/135</x:f>
        <x:v>0</x:v>
      </x:c>
      <x:c r="R29" s="32" t="n">
        <x:f>IF(J29=0,"",Q29/J29)</x:f>
        <x:v>0</x:v>
      </x:c>
      <x:c r="S29" s="33"/>
      <x:c r="T29" s="26" t="str">
        <x:v>NR</x:v>
      </x:c>
      <x:c r="U29" s="26" t="str">
        <x:v>NR</x:v>
      </x:c>
      <x:c r="V29" s="26" t="str"/>
      <x:c r="W29" s="26" t="str"/>
      <x:c r="X29" s="26" t="str"/>
      <x:c r="Y29" s="26" t="str"/>
      <x:c r="Z29" s="26" t="str">
        <x:v>AUSENCIA</x:v>
      </x:c>
      <x:c r="AA29" s="26" t="str">
        <x:v>NO PRIORIZAR</x:v>
      </x:c>
      <x:c r="AB29" s="26" t="str">
        <x:v>Baja</x:v>
      </x:c>
      <x:c r="AC29" s="26" t="str">
        <x:v>Ausencia sin suficiente evidencia internacional + EPN para justificar una nueva materia en esta fase.</x:v>
      </x:c>
    </x:row>
    <x:row r="30">
      <x:c r="A30" s="26" t="str">
        <x:v>A05</x:v>
      </x:c>
      <x:c r="B30" s="26" t="str">
        <x:v>Ingeniería de Procesos y Operaciones Unitarias</x:v>
      </x:c>
      <x:c r="C30" s="26" t="str">
        <x:v>F0501</x:v>
      </x:c>
      <x:c r="D30" s="26" t="str">
        <x:v>Balances de materia y energía</x:v>
      </x:c>
      <x:c r="E30" s="32" t="n">
        <x:v>0</x:v>
      </x:c>
      <x:c r="F30" s="32" t="n">
        <x:v>0</x:v>
      </x:c>
      <x:c r="G30" s="32" t="n">
        <x:v>0</x:v>
      </x:c>
      <x:c r="H30" s="26" t="str">
        <x:v>Baja prevalencia</x:v>
      </x:c>
      <x:c r="I30" s="26" t="str"/>
      <x:c r="J30" s="32" t="n">
        <x:v>0</x:v>
      </x:c>
      <x:c r="K30" s="33"/>
      <x:c r="L30" s="26" t="str">
        <x:v>NR</x:v>
      </x:c>
      <x:c r="M30" s="26" t="str">
        <x:v>NR</x:v>
      </x:c>
      <x:c r="N30" s="26" t="str">
        <x:v>CORE_PRINCIPAL</x:v>
      </x:c>
      <x:c r="O30" s="26" t="str">
        <x:v>IAQD323 Balance de Masa; IAQD423 Balance de Energía</x:v>
      </x:c>
      <x:c r="P30" s="26" t="n">
        <x:v>6</x:v>
      </x:c>
      <x:c r="Q30" s="32" t="n">
        <x:f>P30/135</x:f>
        <x:v>0.044444444444444446</x:v>
      </x:c>
      <x:c r="R30" s="32" t="str">
        <x:f>IF(J30=0,"",Q30/J30)</x:f>
      </x:c>
      <x:c r="S30" s="33" t="n">
        <x:v>27.77777777777778</x:v>
      </x:c>
      <x:c r="T30" s="26" t="str">
        <x:v>E2 Fundamentos de ingeniería</x:v>
      </x:c>
      <x:c r="U30" s="26" t="str">
        <x:v>N1</x:v>
      </x:c>
      <x:c r="V30" s="26" t="str"/>
      <x:c r="W30" s="26" t="str">
        <x:v>PP1; CPIA1; CPIA2</x:v>
      </x:c>
      <x:c r="X30" s="26" t="str"/>
      <x:c r="Y30" s="26" t="str"/>
      <x:c r="Z30" s="26" t="str">
        <x:v>CUBIERTA</x:v>
      </x:c>
      <x:c r="AA30" s="26" t="str">
        <x:v>MANTENER</x:v>
      </x:c>
      <x:c r="AB30" s="26" t="str">
        <x:v>Media</x:v>
      </x:c>
      <x:c r="AC30" s="26" t="str">
        <x:v>Familia explícitamente coherente con la identidad ingenieril EPN; su baja frecuencia en Food Science no justifica eliminación.</x:v>
      </x:c>
    </x:row>
    <x:row r="31">
      <x:c r="A31" s="26" t="str">
        <x:v>A05</x:v>
      </x:c>
      <x:c r="B31" s="26" t="str">
        <x:v>Ingeniería de Procesos y Operaciones Unitarias</x:v>
      </x:c>
      <x:c r="C31" s="26" t="str">
        <x:v>F0502</x:v>
      </x:c>
      <x:c r="D31" s="26" t="str">
        <x:v>Operaciones unitarias generales</x:v>
      </x:c>
      <x:c r="E31" s="32" t="n">
        <x:v>0.8461538461538461</x:v>
      </x:c>
      <x:c r="F31" s="32" t="n">
        <x:v>0.8461538461538461</x:v>
      </x:c>
      <x:c r="G31" s="32" t="n">
        <x:v>0.14285714285714285</x:v>
      </x:c>
      <x:c r="H31" s="26" t="str">
        <x:v>Universal / núcleo</x:v>
      </x:c>
      <x:c r="I31" s="26" t="str"/>
      <x:c r="J31" s="32" t="n">
        <x:v>0.03263888888888889</x:v>
      </x:c>
      <x:c r="K31" s="33" t="n">
        <x:v>56.25</x:v>
      </x:c>
      <x:c r="L31" s="26" t="str">
        <x:v>E3 Formación profesional</x:v>
      </x:c>
      <x:c r="M31" s="26" t="str">
        <x:v>N2</x:v>
      </x:c>
      <x:c r="N31" s="26" t="str">
        <x:v>CORE_PRINCIPAL</x:v>
      </x:c>
      <x:c r="O31" s="26" t="str">
        <x:v>AGRD613 Operaciones Unitarias Agroindustriales</x:v>
      </x:c>
      <x:c r="P31" s="26" t="n">
        <x:v>3</x:v>
      </x:c>
      <x:c r="Q31" s="32" t="n">
        <x:f>P31/135</x:f>
        <x:v>0.022222222222222223</x:v>
      </x:c>
      <x:c r="R31" s="32" t="n">
        <x:f>IF(J31=0,"",Q31/J31)</x:f>
        <x:v>0.6808510638297872</x:v>
      </x:c>
      <x:c r="S31" s="33" t="n">
        <x:v>61.111111111111114</x:v>
      </x:c>
      <x:c r="T31" s="26" t="str">
        <x:v>E3 Formación profesional</x:v>
      </x:c>
      <x:c r="U31" s="26" t="str">
        <x:v>N2</x:v>
      </x:c>
      <x:c r="V31" s="26" t="str">
        <x:v>AGRD613L</x:v>
      </x:c>
      <x:c r="W31" s="26" t="str">
        <x:v>PP1; PP2; PP4; CPIA1; CPIA2; CPIA3; CPIA5</x:v>
      </x:c>
      <x:c r="X31" s="26" t="str">
        <x:v>S04</x:v>
      </x:c>
      <x:c r="Y31" s="26" t="str">
        <x:v>Alta</x:v>
      </x:c>
      <x:c r="Z31" s="26" t="str">
        <x:v>COBERTURA_PRESENTE_PERO_INSUFICIENTE/ACTUALIZAR</x:v>
      </x:c>
      <x:c r="AA31" s="26" t="str">
        <x:v>REFORZAR</x:v>
      </x:c>
      <x:c r="AB31" s="26" t="str">
        <x:v>Muy alta</x:v>
      </x:c>
      <x:c r="AC31" s="26" t="str">
        <x:v>Familia de identidad ingenieril EPN presente, pero con señal externa/estratégica que exige mayor aplicación, integración o actualización.</x:v>
      </x:c>
    </x:row>
    <x:row r="32">
      <x:c r="A32" s="26" t="str">
        <x:v>A05</x:v>
      </x:c>
      <x:c r="B32" s="26" t="str">
        <x:v>Ingeniería de Procesos y Operaciones Unitarias</x:v>
      </x:c>
      <x:c r="C32" s="26" t="str">
        <x:v>F0503</x:v>
      </x:c>
      <x:c r="D32" s="26" t="str">
        <x:v>Tratamientos térmicos y esterilización</x:v>
      </x:c>
      <x:c r="E32" s="32" t="n">
        <x:v>0</x:v>
      </x:c>
      <x:c r="F32" s="32" t="n">
        <x:v>0</x:v>
      </x:c>
      <x:c r="G32" s="32" t="n">
        <x:v>0.14285714285714285</x:v>
      </x:c>
      <x:c r="H32" s="26" t="str">
        <x:v>Baja prevalencia</x:v>
      </x:c>
      <x:c r="I32" s="26" t="str"/>
      <x:c r="J32" s="32" t="n">
        <x:v>0</x:v>
      </x:c>
      <x:c r="K32" s="33"/>
      <x:c r="L32" s="26" t="str">
        <x:v>NR</x:v>
      </x:c>
      <x:c r="M32" s="26" t="str">
        <x:v>NR</x:v>
      </x:c>
      <x:c r="N32" s="26" t="str">
        <x:v>AUSENTE</x:v>
      </x:c>
      <x:c r="O32" s="26" t="str"/>
      <x:c r="P32" s="26" t="n">
        <x:v>0</x:v>
      </x:c>
      <x:c r="Q32" s="32" t="n">
        <x:f>P32/135</x:f>
        <x:v>0</x:v>
      </x:c>
      <x:c r="R32" s="32" t="str">
        <x:f>IF(J32=0,"",Q32/J32)</x:f>
      </x:c>
      <x:c r="S32" s="33"/>
      <x:c r="T32" s="26" t="str">
        <x:v>NR</x:v>
      </x:c>
      <x:c r="U32" s="26" t="str">
        <x:v>NR</x:v>
      </x:c>
      <x:c r="V32" s="26" t="str"/>
      <x:c r="W32" s="26" t="str"/>
      <x:c r="X32" s="26" t="str"/>
      <x:c r="Y32" s="26" t="str"/>
      <x:c r="Z32" s="26" t="str">
        <x:v>AUSENCIA</x:v>
      </x:c>
      <x:c r="AA32" s="26" t="str">
        <x:v>NO PRIORIZAR</x:v>
      </x:c>
      <x:c r="AB32" s="26" t="str">
        <x:v>Baja</x:v>
      </x:c>
      <x:c r="AC32" s="26" t="str">
        <x:v>Ausencia sin suficiente evidencia internacional + EPN para justificar una nueva materia en esta fase.</x:v>
      </x:c>
    </x:row>
    <x:row r="33">
      <x:c r="A33" s="26" t="str">
        <x:v>A05</x:v>
      </x:c>
      <x:c r="B33" s="26" t="str">
        <x:v>Ingeniería de Procesos y Operaciones Unitarias</x:v>
      </x:c>
      <x:c r="C33" s="26" t="str">
        <x:v>F0504</x:v>
      </x:c>
      <x:c r="D33" s="26" t="str">
        <x:v>Refrigeración, congelación y cadena de frío</x:v>
      </x:c>
      <x:c r="E33" s="32" t="n">
        <x:v>0.15384615384615385</x:v>
      </x:c>
      <x:c r="F33" s="32" t="n">
        <x:v>0.15384615384615385</x:v>
      </x:c>
      <x:c r="G33" s="32" t="n">
        <x:v>0.14285714285714285</x:v>
      </x:c>
      <x:c r="H33" s="26" t="str">
        <x:v>Baja prevalencia</x:v>
      </x:c>
      <x:c r="I33" s="26" t="str">
        <x:v>Nicho / especialización</x:v>
      </x:c>
      <x:c r="J33" s="32" t="n">
        <x:v>0.001388888888888889</x:v>
      </x:c>
      <x:c r="K33" s="33" t="n">
        <x:v>81.25</x:v>
      </x:c>
      <x:c r="L33" s="26" t="str">
        <x:v>E4 Integración/especialización</x:v>
      </x:c>
      <x:c r="M33" s="26" t="str">
        <x:v>N2</x:v>
      </x:c>
      <x:c r="N33" s="26" t="str">
        <x:v>AUSENTE</x:v>
      </x:c>
      <x:c r="O33" s="26" t="str"/>
      <x:c r="P33" s="26" t="n">
        <x:v>0</x:v>
      </x:c>
      <x:c r="Q33" s="32" t="n">
        <x:f>P33/135</x:f>
        <x:v>0</x:v>
      </x:c>
      <x:c r="R33" s="32" t="n">
        <x:f>IF(J33=0,"",Q33/J33)</x:f>
        <x:v>0</x:v>
      </x:c>
      <x:c r="S33" s="33"/>
      <x:c r="T33" s="26" t="str">
        <x:v>NR</x:v>
      </x:c>
      <x:c r="U33" s="26" t="str">
        <x:v>NR</x:v>
      </x:c>
      <x:c r="V33" s="26" t="str"/>
      <x:c r="W33" s="26" t="str"/>
      <x:c r="X33" s="26" t="str"/>
      <x:c r="Y33" s="26" t="str"/>
      <x:c r="Z33" s="26" t="str">
        <x:v>AUSENCIA</x:v>
      </x:c>
      <x:c r="AA33" s="26" t="str">
        <x:v>NO PRIORIZAR</x:v>
      </x:c>
      <x:c r="AB33" s="26" t="str">
        <x:v>Baja</x:v>
      </x:c>
      <x:c r="AC33" s="26" t="str">
        <x:v>Ausencia sin suficiente evidencia internacional + EPN para justificar una nueva materia en esta fase.</x:v>
      </x:c>
    </x:row>
    <x:row r="34">
      <x:c r="A34" s="26" t="str">
        <x:v>A05</x:v>
      </x:c>
      <x:c r="B34" s="26" t="str">
        <x:v>Ingeniería de Procesos y Operaciones Unitarias</x:v>
      </x:c>
      <x:c r="C34" s="26" t="str">
        <x:v>F0505</x:v>
      </x:c>
      <x:c r="D34" s="26" t="str">
        <x:v>Secado y deshidratación</x:v>
      </x:c>
      <x:c r="E34" s="32" t="n">
        <x:v>0</x:v>
      </x:c>
      <x:c r="F34" s="32" t="n">
        <x:v>0</x:v>
      </x:c>
      <x:c r="G34" s="32" t="n">
        <x:v>0.14285714285714285</x:v>
      </x:c>
      <x:c r="H34" s="26" t="str">
        <x:v>Baja prevalencia</x:v>
      </x:c>
      <x:c r="I34" s="26" t="str"/>
      <x:c r="J34" s="32" t="n">
        <x:v>0</x:v>
      </x:c>
      <x:c r="K34" s="33"/>
      <x:c r="L34" s="26" t="str">
        <x:v>NR</x:v>
      </x:c>
      <x:c r="M34" s="26" t="str">
        <x:v>NR</x:v>
      </x:c>
      <x:c r="N34" s="26" t="str">
        <x:v>AUSENTE</x:v>
      </x:c>
      <x:c r="O34" s="26" t="str"/>
      <x:c r="P34" s="26" t="n">
        <x:v>0</x:v>
      </x:c>
      <x:c r="Q34" s="32" t="n">
        <x:f>P34/135</x:f>
        <x:v>0</x:v>
      </x:c>
      <x:c r="R34" s="32" t="str">
        <x:f>IF(J34=0,"",Q34/J34)</x:f>
      </x:c>
      <x:c r="S34" s="33"/>
      <x:c r="T34" s="26" t="str">
        <x:v>NR</x:v>
      </x:c>
      <x:c r="U34" s="26" t="str">
        <x:v>NR</x:v>
      </x:c>
      <x:c r="V34" s="26" t="str"/>
      <x:c r="W34" s="26" t="str"/>
      <x:c r="X34" s="26" t="str"/>
      <x:c r="Y34" s="26" t="str"/>
      <x:c r="Z34" s="26" t="str">
        <x:v>AUSENCIA</x:v>
      </x:c>
      <x:c r="AA34" s="26" t="str">
        <x:v>NO PRIORIZAR</x:v>
      </x:c>
      <x:c r="AB34" s="26" t="str">
        <x:v>Baja</x:v>
      </x:c>
      <x:c r="AC34" s="26" t="str">
        <x:v>Ausencia sin suficiente evidencia internacional + EPN para justificar una nueva materia en esta fase.</x:v>
      </x:c>
    </x:row>
    <x:row r="35">
      <x:c r="A35" s="26" t="str">
        <x:v>A05</x:v>
      </x:c>
      <x:c r="B35" s="26" t="str">
        <x:v>Ingeniería de Procesos y Operaciones Unitarias</x:v>
      </x:c>
      <x:c r="C35" s="26" t="str">
        <x:v>F0506</x:v>
      </x:c>
      <x:c r="D35" s="26" t="str">
        <x:v>Evaporación y concentración</x:v>
      </x:c>
      <x:c r="E35" s="32" t="n">
        <x:v>0</x:v>
      </x:c>
      <x:c r="F35" s="32" t="n">
        <x:v>0</x:v>
      </x:c>
      <x:c r="G35" s="32" t="n">
        <x:v>0</x:v>
      </x:c>
      <x:c r="H35" s="26" t="str">
        <x:v>Baja prevalencia</x:v>
      </x:c>
      <x:c r="I35" s="26" t="str"/>
      <x:c r="J35" s="32" t="n">
        <x:v>0</x:v>
      </x:c>
      <x:c r="K35" s="33"/>
      <x:c r="L35" s="26" t="str">
        <x:v>NR</x:v>
      </x:c>
      <x:c r="M35" s="26" t="str">
        <x:v>NR</x:v>
      </x:c>
      <x:c r="N35" s="26" t="str">
        <x:v>AUSENTE</x:v>
      </x:c>
      <x:c r="O35" s="26" t="str"/>
      <x:c r="P35" s="26" t="n">
        <x:v>0</x:v>
      </x:c>
      <x:c r="Q35" s="32" t="n">
        <x:f>P35/135</x:f>
        <x:v>0</x:v>
      </x:c>
      <x:c r="R35" s="32" t="str">
        <x:f>IF(J35=0,"",Q35/J35)</x:f>
      </x:c>
      <x:c r="S35" s="33"/>
      <x:c r="T35" s="26" t="str">
        <x:v>NR</x:v>
      </x:c>
      <x:c r="U35" s="26" t="str">
        <x:v>NR</x:v>
      </x:c>
      <x:c r="V35" s="26" t="str"/>
      <x:c r="W35" s="26" t="str"/>
      <x:c r="X35" s="26" t="str"/>
      <x:c r="Y35" s="26" t="str"/>
      <x:c r="Z35" s="26" t="str">
        <x:v>AUSENCIA</x:v>
      </x:c>
      <x:c r="AA35" s="26" t="str">
        <x:v>NO PRIORIZAR</x:v>
      </x:c>
      <x:c r="AB35" s="26" t="str">
        <x:v>Baja</x:v>
      </x:c>
      <x:c r="AC35" s="26" t="str">
        <x:v>Ausencia sin suficiente evidencia internacional + EPN para justificar una nueva materia en esta fase.</x:v>
      </x:c>
    </x:row>
    <x:row r="36">
      <x:c r="A36" s="26" t="str">
        <x:v>A05</x:v>
      </x:c>
      <x:c r="B36" s="26" t="str">
        <x:v>Ingeniería de Procesos y Operaciones Unitarias</x:v>
      </x:c>
      <x:c r="C36" s="26" t="str">
        <x:v>F0507</x:v>
      </x:c>
      <x:c r="D36" s="26" t="str">
        <x:v>Destilación, extracción y absorción</x:v>
      </x:c>
      <x:c r="E36" s="32" t="n">
        <x:v>0</x:v>
      </x:c>
      <x:c r="F36" s="32" t="n">
        <x:v>0</x:v>
      </x:c>
      <x:c r="G36" s="32" t="n">
        <x:v>0</x:v>
      </x:c>
      <x:c r="H36" s="26" t="str">
        <x:v>Baja prevalencia</x:v>
      </x:c>
      <x:c r="I36" s="26" t="str"/>
      <x:c r="J36" s="32" t="n">
        <x:v>0</x:v>
      </x:c>
      <x:c r="K36" s="33"/>
      <x:c r="L36" s="26" t="str">
        <x:v>NR</x:v>
      </x:c>
      <x:c r="M36" s="26" t="str">
        <x:v>NR</x:v>
      </x:c>
      <x:c r="N36" s="26" t="str">
        <x:v>AUSENTE</x:v>
      </x:c>
      <x:c r="O36" s="26" t="str"/>
      <x:c r="P36" s="26" t="n">
        <x:v>0</x:v>
      </x:c>
      <x:c r="Q36" s="32" t="n">
        <x:f>P36/135</x:f>
        <x:v>0</x:v>
      </x:c>
      <x:c r="R36" s="32" t="str">
        <x:f>IF(J36=0,"",Q36/J36)</x:f>
      </x:c>
      <x:c r="S36" s="33"/>
      <x:c r="T36" s="26" t="str">
        <x:v>NR</x:v>
      </x:c>
      <x:c r="U36" s="26" t="str">
        <x:v>NR</x:v>
      </x:c>
      <x:c r="V36" s="26" t="str"/>
      <x:c r="W36" s="26" t="str"/>
      <x:c r="X36" s="26" t="str"/>
      <x:c r="Y36" s="26" t="str"/>
      <x:c r="Z36" s="26" t="str">
        <x:v>AUSENCIA</x:v>
      </x:c>
      <x:c r="AA36" s="26" t="str">
        <x:v>NO PRIORIZAR</x:v>
      </x:c>
      <x:c r="AB36" s="26" t="str">
        <x:v>Baja</x:v>
      </x:c>
      <x:c r="AC36" s="26" t="str">
        <x:v>Ausencia sin suficiente evidencia internacional + EPN para justificar una nueva materia en esta fase.</x:v>
      </x:c>
    </x:row>
    <x:row r="37">
      <x:c r="A37" s="26" t="str">
        <x:v>A05</x:v>
      </x:c>
      <x:c r="B37" s="26" t="str">
        <x:v>Ingeniería de Procesos y Operaciones Unitarias</x:v>
      </x:c>
      <x:c r="C37" s="26" t="str">
        <x:v>F0508</x:v>
      </x:c>
      <x:c r="D37" s="26" t="str">
        <x:v>Membranas y separaciones avanzadas</x:v>
      </x:c>
      <x:c r="E37" s="32" t="n">
        <x:v>0</x:v>
      </x:c>
      <x:c r="F37" s="32" t="n">
        <x:v>0</x:v>
      </x:c>
      <x:c r="G37" s="32" t="n">
        <x:v>0</x:v>
      </x:c>
      <x:c r="H37" s="26" t="str">
        <x:v>Baja prevalencia</x:v>
      </x:c>
      <x:c r="I37" s="26" t="str"/>
      <x:c r="J37" s="32" t="n">
        <x:v>0</x:v>
      </x:c>
      <x:c r="K37" s="33"/>
      <x:c r="L37" s="26" t="str">
        <x:v>NR</x:v>
      </x:c>
      <x:c r="M37" s="26" t="str">
        <x:v>NR</x:v>
      </x:c>
      <x:c r="N37" s="26" t="str">
        <x:v>AUSENTE</x:v>
      </x:c>
      <x:c r="O37" s="26" t="str"/>
      <x:c r="P37" s="26" t="n">
        <x:v>0</x:v>
      </x:c>
      <x:c r="Q37" s="32" t="n">
        <x:f>P37/135</x:f>
        <x:v>0</x:v>
      </x:c>
      <x:c r="R37" s="32" t="str">
        <x:f>IF(J37=0,"",Q37/J37)</x:f>
      </x:c>
      <x:c r="S37" s="33"/>
      <x:c r="T37" s="26" t="str">
        <x:v>NR</x:v>
      </x:c>
      <x:c r="U37" s="26" t="str">
        <x:v>NR</x:v>
      </x:c>
      <x:c r="V37" s="26" t="str"/>
      <x:c r="W37" s="26" t="str"/>
      <x:c r="X37" s="26" t="str"/>
      <x:c r="Y37" s="26" t="str"/>
      <x:c r="Z37" s="26" t="str">
        <x:v>AUSENCIA</x:v>
      </x:c>
      <x:c r="AA37" s="26" t="str">
        <x:v>NO PRIORIZAR</x:v>
      </x:c>
      <x:c r="AB37" s="26" t="str">
        <x:v>Baja</x:v>
      </x:c>
      <x:c r="AC37" s="26" t="str">
        <x:v>Ausencia sin suficiente evidencia internacional + EPN para justificar una nueva materia en esta fase.</x:v>
      </x:c>
    </x:row>
    <x:row r="38">
      <x:c r="A38" s="26" t="str">
        <x:v>A05</x:v>
      </x:c>
      <x:c r="B38" s="26" t="str">
        <x:v>Ingeniería de Procesos y Operaciones Unitarias</x:v>
      </x:c>
      <x:c r="C38" s="26" t="str">
        <x:v>F0509</x:v>
      </x:c>
      <x:c r="D38" s="26" t="str">
        <x:v>Ingeniería de reactores y cinética</x:v>
      </x:c>
      <x:c r="E38" s="32" t="n">
        <x:v>0</x:v>
      </x:c>
      <x:c r="F38" s="32" t="n">
        <x:v>0</x:v>
      </x:c>
      <x:c r="G38" s="32" t="n">
        <x:v>0.14285714285714285</x:v>
      </x:c>
      <x:c r="H38" s="26" t="str">
        <x:v>Baja prevalencia</x:v>
      </x:c>
      <x:c r="I38" s="26" t="str"/>
      <x:c r="J38" s="32" t="n">
        <x:v>0</x:v>
      </x:c>
      <x:c r="K38" s="33"/>
      <x:c r="L38" s="26" t="str">
        <x:v>NR</x:v>
      </x:c>
      <x:c r="M38" s="26" t="str">
        <x:v>NR</x:v>
      </x:c>
      <x:c r="N38" s="26" t="str">
        <x:v>AUSENTE</x:v>
      </x:c>
      <x:c r="O38" s="26" t="str"/>
      <x:c r="P38" s="26" t="n">
        <x:v>0</x:v>
      </x:c>
      <x:c r="Q38" s="32" t="n">
        <x:f>P38/135</x:f>
        <x:v>0</x:v>
      </x:c>
      <x:c r="R38" s="32" t="str">
        <x:f>IF(J38=0,"",Q38/J38)</x:f>
      </x:c>
      <x:c r="S38" s="33"/>
      <x:c r="T38" s="26" t="str">
        <x:v>NR</x:v>
      </x:c>
      <x:c r="U38" s="26" t="str">
        <x:v>NR</x:v>
      </x:c>
      <x:c r="V38" s="26" t="str"/>
      <x:c r="W38" s="26" t="str"/>
      <x:c r="X38" s="26" t="str"/>
      <x:c r="Y38" s="26" t="str"/>
      <x:c r="Z38" s="26" t="str">
        <x:v>AUSENCIA</x:v>
      </x:c>
      <x:c r="AA38" s="26" t="str">
        <x:v>NO PRIORIZAR</x:v>
      </x:c>
      <x:c r="AB38" s="26" t="str">
        <x:v>Baja</x:v>
      </x:c>
      <x:c r="AC38" s="26" t="str">
        <x:v>Ausencia sin suficiente evidencia internacional + EPN para justificar una nueva materia en esta fase.</x:v>
      </x:c>
    </x:row>
    <x:row r="39">
      <x:c r="A39" s="26" t="str">
        <x:v>A05</x:v>
      </x:c>
      <x:c r="B39" s="26" t="str">
        <x:v>Ingeniería de Procesos y Operaciones Unitarias</x:v>
      </x:c>
      <x:c r="C39" s="26" t="str">
        <x:v>F0510</x:v>
      </x:c>
      <x:c r="D39" s="26" t="str">
        <x:v>Modelización, simulación y optimización de procesos</x:v>
      </x:c>
      <x:c r="E39" s="32" t="n">
        <x:v>0</x:v>
      </x:c>
      <x:c r="F39" s="32" t="n">
        <x:v>0</x:v>
      </x:c>
      <x:c r="G39" s="32" t="n">
        <x:v>0</x:v>
      </x:c>
      <x:c r="H39" s="26" t="str">
        <x:v>Baja prevalencia</x:v>
      </x:c>
      <x:c r="I39" s="26" t="str"/>
      <x:c r="J39" s="32" t="n">
        <x:v>0</x:v>
      </x:c>
      <x:c r="K39" s="33"/>
      <x:c r="L39" s="26" t="str">
        <x:v>NR</x:v>
      </x:c>
      <x:c r="M39" s="26" t="str">
        <x:v>NR</x:v>
      </x:c>
      <x:c r="N39" s="26" t="str">
        <x:v>CORE_PRINCIPAL</x:v>
      </x:c>
      <x:c r="O39" s="26" t="str">
        <x:v>AGRD822 Simulación de Procesos Agroindustriales</x:v>
      </x:c>
      <x:c r="P39" s="26" t="n">
        <x:v>2</x:v>
      </x:c>
      <x:c r="Q39" s="32" t="n">
        <x:f>P39/135</x:f>
        <x:v>0.014814814814814815</x:v>
      </x:c>
      <x:c r="R39" s="32" t="str">
        <x:f>IF(J39=0,"",Q39/J39)</x:f>
      </x:c>
      <x:c r="S39" s="33" t="n">
        <x:v>83.33333333333334</x:v>
      </x:c>
      <x:c r="T39" s="26" t="str">
        <x:v>E4 Integración/especialización</x:v>
      </x:c>
      <x:c r="U39" s="26" t="str">
        <x:v>N3</x:v>
      </x:c>
      <x:c r="V39" s="26" t="str"/>
      <x:c r="W39" s="26" t="str">
        <x:v>PP1; PP2; PP3; PP4; CPIA2; CPIA3; CPIA4; CPIA5</x:v>
      </x:c>
      <x:c r="X39" s="26" t="str">
        <x:v>S01; S04</x:v>
      </x:c>
      <x:c r="Y39" s="26" t="str">
        <x:v>Muy alta</x:v>
      </x:c>
      <x:c r="Z39" s="26" t="str">
        <x:v>COBERTURA_PRESENTE_PERO_INSUFICIENTE/ACTUALIZAR</x:v>
      </x:c>
      <x:c r="AA39" s="26" t="str">
        <x:v>REFORZAR</x:v>
      </x:c>
      <x:c r="AB39" s="26" t="str">
        <x:v>Muy alta</x:v>
      </x:c>
      <x:c r="AC39" s="26" t="str">
        <x:v>Familia de identidad ingenieril EPN presente, pero con señal externa/estratégica que exige mayor aplicación, integración o actualización.</x:v>
      </x:c>
    </x:row>
    <x:row r="40">
      <x:c r="A40" s="26" t="str">
        <x:v>A06</x:v>
      </x:c>
      <x:c r="B40" s="26" t="str">
        <x:v>Ciencia y Tecnología General de Alimentos</x:v>
      </x:c>
      <x:c r="C40" s="26" t="str">
        <x:v>F0601</x:v>
      </x:c>
      <x:c r="D40" s="26" t="str">
        <x:v>Química y bioquímica de alimentos</x:v>
      </x:c>
      <x:c r="E40" s="32" t="n">
        <x:v>0.5384615384615384</x:v>
      </x:c>
      <x:c r="F40" s="32" t="n">
        <x:v>0.5384615384615384</x:v>
      </x:c>
      <x:c r="G40" s="32" t="n">
        <x:v>0</x:v>
      </x:c>
      <x:c r="H40" s="26" t="str">
        <x:v>Consolidada</x:v>
      </x:c>
      <x:c r="I40" s="26" t="str"/>
      <x:c r="J40" s="32" t="n">
        <x:v>0.02152777777777778</x:v>
      </x:c>
      <x:c r="K40" s="33" t="n">
        <x:v>41.66666666666667</x:v>
      </x:c>
      <x:c r="L40" s="26" t="str">
        <x:v>E2 Fundamentos de ingeniería</x:v>
      </x:c>
      <x:c r="M40" s="26" t="str">
        <x:v>N2</x:v>
      </x:c>
      <x:c r="N40" s="26" t="str">
        <x:v>AUSENTE</x:v>
      </x:c>
      <x:c r="O40" s="26" t="str"/>
      <x:c r="P40" s="26" t="n">
        <x:v>0</x:v>
      </x:c>
      <x:c r="Q40" s="32" t="n">
        <x:f>P40/135</x:f>
        <x:v>0</x:v>
      </x:c>
      <x:c r="R40" s="32" t="n">
        <x:f>IF(J40=0,"",Q40/J40)</x:f>
        <x:v>0</x:v>
      </x:c>
      <x:c r="S40" s="33"/>
      <x:c r="T40" s="26" t="str">
        <x:v>NR</x:v>
      </x:c>
      <x:c r="U40" s="26" t="str">
        <x:v>NR</x:v>
      </x:c>
      <x:c r="V40" s="26" t="str"/>
      <x:c r="W40" s="26" t="str"/>
      <x:c r="X40" s="26" t="str"/>
      <x:c r="Y40" s="26" t="str"/>
      <x:c r="Z40" s="26" t="str">
        <x:v>AUSENCIA</x:v>
      </x:c>
      <x:c r="AA40" s="26" t="str">
        <x:v>INTEGRAR</x:v>
      </x:c>
      <x:c r="AB40" s="26" t="str">
        <x:v>Media</x:v>
      </x:c>
      <x:c r="AC40" s="26" t="str">
        <x:v>Verificar e integrar química/bioquímica de alimentos entre Análisis de Alimentos, Bioquímica, Química Bioorgánica e Ingeniería de Alimentos antes de crear una asignatura adicional.</x:v>
      </x:c>
    </x:row>
    <x:row r="41">
      <x:c r="A41" s="26" t="str">
        <x:v>A06</x:v>
      </x:c>
      <x:c r="B41" s="26" t="str">
        <x:v>Ciencia y Tecnología General de Alimentos</x:v>
      </x:c>
      <x:c r="C41" s="26" t="str">
        <x:v>F0602</x:v>
      </x:c>
      <x:c r="D41" s="26" t="str">
        <x:v>Física, reología y estructura de alimentos</x:v>
      </x:c>
      <x:c r="E41" s="32" t="n">
        <x:v>0.3076923076923077</x:v>
      </x:c>
      <x:c r="F41" s="32" t="n">
        <x:v>0.23076923076923078</x:v>
      </x:c>
      <x:c r="G41" s="32" t="n">
        <x:v>0.14285714285714285</x:v>
      </x:c>
      <x:c r="H41" s="26" t="str">
        <x:v>Selectiva</x:v>
      </x:c>
      <x:c r="I41" s="26" t="str"/>
      <x:c r="J41" s="32" t="n">
        <x:v>0.004629629629629629</x:v>
      </x:c>
      <x:c r="K41" s="33" t="n">
        <x:v>58.333333333333336</x:v>
      </x:c>
      <x:c r="L41" s="26" t="str">
        <x:v>E3 Formación profesional</x:v>
      </x:c>
      <x:c r="M41" s="26" t="str">
        <x:v>N2</x:v>
      </x:c>
      <x:c r="N41" s="26" t="str">
        <x:v>AUSENTE</x:v>
      </x:c>
      <x:c r="O41" s="26" t="str"/>
      <x:c r="P41" s="26" t="n">
        <x:v>0</x:v>
      </x:c>
      <x:c r="Q41" s="32" t="n">
        <x:f>P41/135</x:f>
        <x:v>0</x:v>
      </x:c>
      <x:c r="R41" s="32" t="n">
        <x:f>IF(J41=0,"",Q41/J41)</x:f>
        <x:v>0</x:v>
      </x:c>
      <x:c r="S41" s="33"/>
      <x:c r="T41" s="26" t="str">
        <x:v>NR</x:v>
      </x:c>
      <x:c r="U41" s="26" t="str">
        <x:v>NR</x:v>
      </x:c>
      <x:c r="V41" s="26" t="str"/>
      <x:c r="W41" s="26" t="str"/>
      <x:c r="X41" s="26" t="str"/>
      <x:c r="Y41" s="26" t="str"/>
      <x:c r="Z41" s="26" t="str">
        <x:v>AUSENCIA</x:v>
      </x:c>
      <x:c r="AA41" s="26" t="str">
        <x:v>NO PRIORIZAR</x:v>
      </x:c>
      <x:c r="AB41" s="26" t="str">
        <x:v>Baja</x:v>
      </x:c>
      <x:c r="AC41" s="26" t="str">
        <x:v>Ausencia sin suficiente evidencia internacional + EPN para justificar una nueva materia en esta fase.</x:v>
      </x:c>
    </x:row>
    <x:row r="42">
      <x:c r="A42" s="26" t="str">
        <x:v>A06</x:v>
      </x:c>
      <x:c r="B42" s="26" t="str">
        <x:v>Ciencia y Tecnología General de Alimentos</x:v>
      </x:c>
      <x:c r="C42" s="26" t="str">
        <x:v>F0603</x:v>
      </x:c>
      <x:c r="D42" s="26" t="str">
        <x:v>Ingredientes y funcionalidad tecnológica</x:v>
      </x:c>
      <x:c r="E42" s="32" t="n">
        <x:v>0.15384615384615385</x:v>
      </x:c>
      <x:c r="F42" s="32" t="n">
        <x:v>0.15384615384615385</x:v>
      </x:c>
      <x:c r="G42" s="32" t="n">
        <x:v>0</x:v>
      </x:c>
      <x:c r="H42" s="26" t="str">
        <x:v>Baja prevalencia</x:v>
      </x:c>
      <x:c r="I42" s="26" t="str">
        <x:v>Nicho / especialización</x:v>
      </x:c>
      <x:c r="J42" s="32" t="n">
        <x:v>0.0037037037037037034</x:v>
      </x:c>
      <x:c r="K42" s="33" t="n">
        <x:v>41.66666666666667</x:v>
      </x:c>
      <x:c r="L42" s="26" t="str">
        <x:v>E2 Fundamentos de ingeniería</x:v>
      </x:c>
      <x:c r="M42" s="26" t="str">
        <x:v>N2</x:v>
      </x:c>
      <x:c r="N42" s="26" t="str">
        <x:v>AUSENTE</x:v>
      </x:c>
      <x:c r="O42" s="26" t="str"/>
      <x:c r="P42" s="26" t="n">
        <x:v>0</x:v>
      </x:c>
      <x:c r="Q42" s="32" t="n">
        <x:f>P42/135</x:f>
        <x:v>0</x:v>
      </x:c>
      <x:c r="R42" s="32" t="n">
        <x:f>IF(J42=0,"",Q42/J42)</x:f>
        <x:v>0</x:v>
      </x:c>
      <x:c r="S42" s="33"/>
      <x:c r="T42" s="26" t="str">
        <x:v>NR</x:v>
      </x:c>
      <x:c r="U42" s="26" t="str">
        <x:v>NR</x:v>
      </x:c>
      <x:c r="V42" s="26" t="str"/>
      <x:c r="W42" s="26" t="str"/>
      <x:c r="X42" s="26" t="str"/>
      <x:c r="Y42" s="26" t="str"/>
      <x:c r="Z42" s="26" t="str">
        <x:v>AUSENCIA</x:v>
      </x:c>
      <x:c r="AA42" s="26" t="str">
        <x:v>NO PRIORIZAR</x:v>
      </x:c>
      <x:c r="AB42" s="26" t="str">
        <x:v>Baja</x:v>
      </x:c>
      <x:c r="AC42" s="26" t="str">
        <x:v>Ausencia sin suficiente evidencia internacional + EPN para justificar una nueva materia en esta fase.</x:v>
      </x:c>
    </x:row>
    <x:row r="43">
      <x:c r="A43" s="26" t="str">
        <x:v>A06</x:v>
      </x:c>
      <x:c r="B43" s="26" t="str">
        <x:v>Ciencia y Tecnología General de Alimentos</x:v>
      </x:c>
      <x:c r="C43" s="26" t="str">
        <x:v>F0604</x:v>
      </x:c>
      <x:c r="D43" s="26" t="str">
        <x:v>Tecnología / procesamiento general de alimentos</x:v>
      </x:c>
      <x:c r="E43" s="32" t="n">
        <x:v>0.6153846153846154</x:v>
      </x:c>
      <x:c r="F43" s="32" t="n">
        <x:v>0.6153846153846154</x:v>
      </x:c>
      <x:c r="G43" s="32" t="n">
        <x:v>0.2857142857142857</x:v>
      </x:c>
      <x:c r="H43" s="26" t="str">
        <x:v>Consolidada</x:v>
      </x:c>
      <x:c r="I43" s="26" t="str"/>
      <x:c r="J43" s="32" t="n">
        <x:v>0.04374999999999999</x:v>
      </x:c>
      <x:c r="K43" s="33" t="n">
        <x:v>48.958333333333336</x:v>
      </x:c>
      <x:c r="L43" s="26" t="str">
        <x:v>E2 Fundamentos de ingeniería</x:v>
      </x:c>
      <x:c r="M43" s="26" t="str">
        <x:v>N2</x:v>
      </x:c>
      <x:c r="N43" s="26" t="str">
        <x:v>CORE_PRINCIPAL + ITINERARIO</x:v>
      </x:c>
      <x:c r="O43" s="26" t="str">
        <x:v>AGRD733 Ingeniería de Alimentos; AGRD801 Tecnología de Alimentos I; AGRD901 Tecnología de Alimentos II</x:v>
      </x:c>
      <x:c r="P43" s="26" t="n">
        <x:v>3</x:v>
      </x:c>
      <x:c r="Q43" s="32" t="n">
        <x:f>P43/135</x:f>
        <x:v>0.022222222222222223</x:v>
      </x:c>
      <x:c r="R43" s="32" t="n">
        <x:f>IF(J43=0,"",Q43/J43)</x:f>
        <x:v>0.507936507936508</x:v>
      </x:c>
      <x:c r="S43" s="33" t="n">
        <x:v>72.22222222222221</x:v>
      </x:c>
      <x:c r="T43" s="26" t="str">
        <x:v>E3 Formación profesional</x:v>
      </x:c>
      <x:c r="U43" s="26" t="str">
        <x:v>N3</x:v>
      </x:c>
      <x:c r="V43" s="26" t="str">
        <x:v>AGRD733L</x:v>
      </x:c>
      <x:c r="W43" s="26" t="str">
        <x:v>PP1; PP2; CPIA3</x:v>
      </x:c>
      <x:c r="X43" s="26" t="str"/>
      <x:c r="Y43" s="26" t="str"/>
      <x:c r="Z43" s="26" t="str">
        <x:v>COBERTURA_PRESENTE_PERO_INSUFICIENTE/ACTUALIZAR</x:v>
      </x:c>
      <x:c r="AA43" s="26" t="str">
        <x:v>REFORZAR</x:v>
      </x:c>
      <x:c r="AB43" s="26" t="str">
        <x:v>Alta</x:v>
      </x:c>
      <x:c r="AC43" s="26" t="str">
        <x:v>La familia está presente, pero su peso obligatorio EPN es sensiblemente menor que el promedio del benchmark Core.</x:v>
      </x:c>
    </x:row>
    <x:row r="44">
      <x:c r="A44" s="26" t="str">
        <x:v>A06</x:v>
      </x:c>
      <x:c r="B44" s="26" t="str">
        <x:v>Ciencia y Tecnología General de Alimentos</x:v>
      </x:c>
      <x:c r="C44" s="26" t="str">
        <x:v>F0605</x:v>
      </x:c>
      <x:c r="D44" s="26" t="str">
        <x:v>Conservación de alimentos y tecnologías emergentes</x:v>
      </x:c>
      <x:c r="E44" s="32" t="n">
        <x:v>0.38461538461538464</x:v>
      </x:c>
      <x:c r="F44" s="32" t="n">
        <x:v>0.38461538461538464</x:v>
      </x:c>
      <x:c r="G44" s="32" t="n">
        <x:v>0</x:v>
      </x:c>
      <x:c r="H44" s="26" t="str">
        <x:v>Selectiva</x:v>
      </x:c>
      <x:c r="I44" s="26" t="str">
        <x:v>Emergente en grado</x:v>
      </x:c>
      <x:c r="J44" s="32" t="n">
        <x:v>0.007523148148148148</x:v>
      </x:c>
      <x:c r="K44" s="33" t="n">
        <x:v>68.75</x:v>
      </x:c>
      <x:c r="L44" s="26" t="str">
        <x:v>E3 Formación profesional</x:v>
      </x:c>
      <x:c r="M44" s="26" t="str">
        <x:v>N2</x:v>
      </x:c>
      <x:c r="N44" s="26" t="str">
        <x:v>AUSENTE</x:v>
      </x:c>
      <x:c r="O44" s="26" t="str"/>
      <x:c r="P44" s="26" t="n">
        <x:v>0</x:v>
      </x:c>
      <x:c r="Q44" s="32" t="n">
        <x:f>P44/135</x:f>
        <x:v>0</x:v>
      </x:c>
      <x:c r="R44" s="32" t="n">
        <x:f>IF(J44=0,"",Q44/J44)</x:f>
        <x:v>0</x:v>
      </x:c>
      <x:c r="S44" s="33"/>
      <x:c r="T44" s="26" t="str">
        <x:v>NR</x:v>
      </x:c>
      <x:c r="U44" s="26" t="str">
        <x:v>NR</x:v>
      </x:c>
      <x:c r="V44" s="26" t="str"/>
      <x:c r="W44" s="26" t="str">
        <x:v>PP2; CPIA3</x:v>
      </x:c>
      <x:c r="X44" s="26" t="str"/>
      <x:c r="Y44" s="26" t="str"/>
      <x:c r="Z44" s="26" t="str">
        <x:v>AUSENCIA</x:v>
      </x:c>
      <x:c r="AA44" s="26" t="str">
        <x:v>INTEGRAR</x:v>
      </x:c>
      <x:c r="AB44" s="26" t="str">
        <x:v>Alta</x:v>
      </x:c>
      <x:c r="AC44" s="26" t="str">
        <x:v>Incorporar conservación y tecnologías emergentes en Ingeniería de Alimentos/itinerario; si los PEA muestran ausencia, escalar a AÑADIR.</x:v>
      </x:c>
    </x:row>
    <x:row r="45">
      <x:c r="A45" s="26" t="str">
        <x:v>A06</x:v>
      </x:c>
      <x:c r="B45" s="26" t="str">
        <x:v>Ciencia y Tecnología General de Alimentos</x:v>
      </x:c>
      <x:c r="C45" s="26" t="str">
        <x:v>F0606</x:v>
      </x:c>
      <x:c r="D45" s="26" t="str">
        <x:v>Formulación y diseño tecnológico del alimento</x:v>
      </x:c>
      <x:c r="E45" s="32" t="n">
        <x:v>0.07692307692307693</x:v>
      </x:c>
      <x:c r="F45" s="32" t="n">
        <x:v>0.07692307692307693</x:v>
      </x:c>
      <x:c r="G45" s="32" t="n">
        <x:v>0.14285714285714285</x:v>
      </x:c>
      <x:c r="H45" s="26" t="str">
        <x:v>Baja prevalencia</x:v>
      </x:c>
      <x:c r="I45" s="26" t="str">
        <x:v>Nicho / especialización</x:v>
      </x:c>
      <x:c r="J45" s="32" t="n">
        <x:v>0.004166666666666667</x:v>
      </x:c>
      <x:c r="K45" s="33" t="n">
        <x:v>58.333333333333336</x:v>
      </x:c>
      <x:c r="L45" s="26" t="str">
        <x:v>E3 Formación profesional</x:v>
      </x:c>
      <x:c r="M45" s="26" t="str">
        <x:v>N3</x:v>
      </x:c>
      <x:c r="N45" s="26" t="str">
        <x:v>AUSENTE</x:v>
      </x:c>
      <x:c r="O45" s="26" t="str"/>
      <x:c r="P45" s="26" t="n">
        <x:v>0</x:v>
      </x:c>
      <x:c r="Q45" s="32" t="n">
        <x:f>P45/135</x:f>
        <x:v>0</x:v>
      </x:c>
      <x:c r="R45" s="32" t="n">
        <x:f>IF(J45=0,"",Q45/J45)</x:f>
        <x:v>0</x:v>
      </x:c>
      <x:c r="S45" s="33"/>
      <x:c r="T45" s="26" t="str">
        <x:v>NR</x:v>
      </x:c>
      <x:c r="U45" s="26" t="str">
        <x:v>NR</x:v>
      </x:c>
      <x:c r="V45" s="26" t="str"/>
      <x:c r="W45" s="26" t="str"/>
      <x:c r="X45" s="26" t="str"/>
      <x:c r="Y45" s="26" t="str"/>
      <x:c r="Z45" s="26" t="str">
        <x:v>AUSENCIA</x:v>
      </x:c>
      <x:c r="AA45" s="26" t="str">
        <x:v>NO PRIORIZAR</x:v>
      </x:c>
      <x:c r="AB45" s="26" t="str">
        <x:v>Baja</x:v>
      </x:c>
      <x:c r="AC45" s="26" t="str">
        <x:v>Ausencia sin suficiente evidencia internacional + EPN para justificar una nueva materia en esta fase.</x:v>
      </x:c>
    </x:row>
    <x:row r="46">
      <x:c r="A46" s="26" t="str">
        <x:v>A07</x:v>
      </x:c>
      <x:c r="B46" s="26" t="str">
        <x:v>Tecnologías Sectoriales Agroalimentarias</x:v>
      </x:c>
      <x:c r="C46" s="26" t="str">
        <x:v>F0701</x:v>
      </x:c>
      <x:c r="D46" s="26" t="str">
        <x:v>Tecnología de lácteos</x:v>
      </x:c>
      <x:c r="E46" s="32" t="n">
        <x:v>0.3076923076923077</x:v>
      </x:c>
      <x:c r="F46" s="32" t="n">
        <x:v>0.23076923076923078</x:v>
      </x:c>
      <x:c r="G46" s="32" t="n">
        <x:v>0</x:v>
      </x:c>
      <x:c r="H46" s="26" t="str">
        <x:v>Selectiva</x:v>
      </x:c>
      <x:c r="I46" s="26" t="str"/>
      <x:c r="J46" s="32" t="n">
        <x:v>0.006018518518518519</x:v>
      </x:c>
      <x:c r="K46" s="33" t="n">
        <x:v>66.66666666666667</x:v>
      </x:c>
      <x:c r="L46" s="26" t="str">
        <x:v>E3 Formación profesional</x:v>
      </x:c>
      <x:c r="M46" s="26" t="str">
        <x:v>N2</x:v>
      </x:c>
      <x:c r="N46" s="26" t="str">
        <x:v>AUSENTE</x:v>
      </x:c>
      <x:c r="O46" s="26" t="str"/>
      <x:c r="P46" s="26" t="n">
        <x:v>0</x:v>
      </x:c>
      <x:c r="Q46" s="32" t="n">
        <x:f>P46/135</x:f>
        <x:v>0</x:v>
      </x:c>
      <x:c r="R46" s="32" t="n">
        <x:f>IF(J46=0,"",Q46/J46)</x:f>
        <x:v>0</x:v>
      </x:c>
      <x:c r="S46" s="33"/>
      <x:c r="T46" s="26" t="str">
        <x:v>NR</x:v>
      </x:c>
      <x:c r="U46" s="26" t="str">
        <x:v>NR</x:v>
      </x:c>
      <x:c r="V46" s="26" t="str"/>
      <x:c r="W46" s="26" t="str"/>
      <x:c r="X46" s="26" t="str"/>
      <x:c r="Y46" s="26" t="str"/>
      <x:c r="Z46" s="26" t="str">
        <x:v>AUSENCIA</x:v>
      </x:c>
      <x:c r="AA46" s="26" t="str">
        <x:v>NO PRIORIZAR</x:v>
      </x:c>
      <x:c r="AB46" s="26" t="str">
        <x:v>Baja</x:v>
      </x:c>
      <x:c r="AC46" s="26" t="str">
        <x:v>Ausencia sin suficiente evidencia internacional + EPN para justificar una nueva materia en esta fase.</x:v>
      </x:c>
    </x:row>
    <x:row r="47">
      <x:c r="A47" s="26" t="str">
        <x:v>A07</x:v>
      </x:c>
      <x:c r="B47" s="26" t="str">
        <x:v>Tecnologías Sectoriales Agroalimentarias</x:v>
      </x:c>
      <x:c r="C47" s="26" t="str">
        <x:v>F0702</x:v>
      </x:c>
      <x:c r="D47" s="26" t="str">
        <x:v>Tecnología de carnes, aves y pescado</x:v>
      </x:c>
      <x:c r="E47" s="32" t="n">
        <x:v>0.46153846153846156</x:v>
      </x:c>
      <x:c r="F47" s="32" t="n">
        <x:v>0.46153846153846156</x:v>
      </x:c>
      <x:c r="G47" s="32" t="n">
        <x:v>0</x:v>
      </x:c>
      <x:c r="H47" s="26" t="str">
        <x:v>Selectiva</x:v>
      </x:c>
      <x:c r="I47" s="26" t="str"/>
      <x:c r="J47" s="32" t="n">
        <x:v>0.015509259259259259</x:v>
      </x:c>
      <x:c r="K47" s="33" t="n">
        <x:v>78.125</x:v>
      </x:c>
      <x:c r="L47" s="26" t="str">
        <x:v>E4 Integración/especialización</x:v>
      </x:c>
      <x:c r="M47" s="26" t="str">
        <x:v>N2</x:v>
      </x:c>
      <x:c r="N47" s="26" t="str">
        <x:v>AUSENTE</x:v>
      </x:c>
      <x:c r="O47" s="26" t="str"/>
      <x:c r="P47" s="26" t="n">
        <x:v>0</x:v>
      </x:c>
      <x:c r="Q47" s="32" t="n">
        <x:f>P47/135</x:f>
        <x:v>0</x:v>
      </x:c>
      <x:c r="R47" s="32" t="n">
        <x:f>IF(J47=0,"",Q47/J47)</x:f>
        <x:v>0</x:v>
      </x:c>
      <x:c r="S47" s="33"/>
      <x:c r="T47" s="26" t="str">
        <x:v>NR</x:v>
      </x:c>
      <x:c r="U47" s="26" t="str">
        <x:v>NR</x:v>
      </x:c>
      <x:c r="V47" s="26" t="str"/>
      <x:c r="W47" s="26" t="str"/>
      <x:c r="X47" s="26" t="str"/>
      <x:c r="Y47" s="26" t="str"/>
      <x:c r="Z47" s="26" t="str">
        <x:v>AUSENCIA</x:v>
      </x:c>
      <x:c r="AA47" s="26" t="str">
        <x:v>NO PRIORIZAR</x:v>
      </x:c>
      <x:c r="AB47" s="26" t="str">
        <x:v>Baja</x:v>
      </x:c>
      <x:c r="AC47" s="26" t="str">
        <x:v>Ausencia sin suficiente evidencia internacional + EPN para justificar una nueva materia en esta fase.</x:v>
      </x:c>
    </x:row>
    <x:row r="48">
      <x:c r="A48" s="26" t="str">
        <x:v>A07</x:v>
      </x:c>
      <x:c r="B48" s="26" t="str">
        <x:v>Tecnologías Sectoriales Agroalimentarias</x:v>
      </x:c>
      <x:c r="C48" s="26" t="str">
        <x:v>F0703</x:v>
      </x:c>
      <x:c r="D48" s="26" t="str">
        <x:v>Tecnología de cereales y derivados</x:v>
      </x:c>
      <x:c r="E48" s="32" t="n">
        <x:v>0.38461538461538464</x:v>
      </x:c>
      <x:c r="F48" s="32" t="n">
        <x:v>0.23076923076923078</x:v>
      </x:c>
      <x:c r="G48" s="32" t="n">
        <x:v>0</x:v>
      </x:c>
      <x:c r="H48" s="26" t="str">
        <x:v>Selectiva</x:v>
      </x:c>
      <x:c r="I48" s="26" t="str"/>
      <x:c r="J48" s="32" t="n">
        <x:v>0.005787037037037038</x:v>
      </x:c>
      <x:c r="K48" s="33" t="n">
        <x:v>75</x:v>
      </x:c>
      <x:c r="L48" s="26" t="str">
        <x:v>E3 Formación profesional</x:v>
      </x:c>
      <x:c r="M48" s="26" t="str">
        <x:v>N2</x:v>
      </x:c>
      <x:c r="N48" s="26" t="str">
        <x:v>AUSENTE</x:v>
      </x:c>
      <x:c r="O48" s="26" t="str"/>
      <x:c r="P48" s="26" t="n">
        <x:v>0</x:v>
      </x:c>
      <x:c r="Q48" s="32" t="n">
        <x:f>P48/135</x:f>
        <x:v>0</x:v>
      </x:c>
      <x:c r="R48" s="32" t="n">
        <x:f>IF(J48=0,"",Q48/J48)</x:f>
        <x:v>0</x:v>
      </x:c>
      <x:c r="S48" s="33"/>
      <x:c r="T48" s="26" t="str">
        <x:v>NR</x:v>
      </x:c>
      <x:c r="U48" s="26" t="str">
        <x:v>NR</x:v>
      </x:c>
      <x:c r="V48" s="26" t="str"/>
      <x:c r="W48" s="26" t="str"/>
      <x:c r="X48" s="26" t="str"/>
      <x:c r="Y48" s="26" t="str"/>
      <x:c r="Z48" s="26" t="str">
        <x:v>AUSENCIA</x:v>
      </x:c>
      <x:c r="AA48" s="26" t="str">
        <x:v>NO PRIORIZAR</x:v>
      </x:c>
      <x:c r="AB48" s="26" t="str">
        <x:v>Baja</x:v>
      </x:c>
      <x:c r="AC48" s="26" t="str">
        <x:v>Ausencia sin suficiente evidencia internacional + EPN para justificar una nueva materia en esta fase.</x:v>
      </x:c>
    </x:row>
    <x:row r="49">
      <x:c r="A49" s="26" t="str">
        <x:v>A07</x:v>
      </x:c>
      <x:c r="B49" s="26" t="str">
        <x:v>Tecnologías Sectoriales Agroalimentarias</x:v>
      </x:c>
      <x:c r="C49" s="26" t="str">
        <x:v>F0704</x:v>
      </x:c>
      <x:c r="D49" s="26" t="str">
        <x:v>Tecnología de frutas, hortalizas y zumos</x:v>
      </x:c>
      <x:c r="E49" s="32" t="n">
        <x:v>0.38461538461538464</x:v>
      </x:c>
      <x:c r="F49" s="32" t="n">
        <x:v>0.3076923076923077</x:v>
      </x:c>
      <x:c r="G49" s="32" t="n">
        <x:v>0.14285714285714285</x:v>
      </x:c>
      <x:c r="H49" s="26" t="str">
        <x:v>Selectiva</x:v>
      </x:c>
      <x:c r="I49" s="26" t="str"/>
      <x:c r="J49" s="32" t="n">
        <x:v>0.007407407407407408</x:v>
      </x:c>
      <x:c r="K49" s="33" t="n">
        <x:v>58.333333333333336</x:v>
      </x:c>
      <x:c r="L49" s="26" t="str">
        <x:v>E3 Formación profesional</x:v>
      </x:c>
      <x:c r="M49" s="26" t="str">
        <x:v>N2</x:v>
      </x:c>
      <x:c r="N49" s="26" t="str">
        <x:v>AUSENTE</x:v>
      </x:c>
      <x:c r="O49" s="26" t="str"/>
      <x:c r="P49" s="26" t="n">
        <x:v>0</x:v>
      </x:c>
      <x:c r="Q49" s="32" t="n">
        <x:f>P49/135</x:f>
        <x:v>0</x:v>
      </x:c>
      <x:c r="R49" s="32" t="n">
        <x:f>IF(J49=0,"",Q49/J49)</x:f>
        <x:v>0</x:v>
      </x:c>
      <x:c r="S49" s="33"/>
      <x:c r="T49" s="26" t="str">
        <x:v>NR</x:v>
      </x:c>
      <x:c r="U49" s="26" t="str">
        <x:v>NR</x:v>
      </x:c>
      <x:c r="V49" s="26" t="str"/>
      <x:c r="W49" s="26" t="str"/>
      <x:c r="X49" s="26" t="str"/>
      <x:c r="Y49" s="26" t="str"/>
      <x:c r="Z49" s="26" t="str">
        <x:v>AUSENCIA</x:v>
      </x:c>
      <x:c r="AA49" s="26" t="str">
        <x:v>NO PRIORIZAR</x:v>
      </x:c>
      <x:c r="AB49" s="26" t="str">
        <x:v>Baja</x:v>
      </x:c>
      <x:c r="AC49" s="26" t="str">
        <x:v>Ausencia sin suficiente evidencia internacional + EPN para justificar una nueva materia en esta fase.</x:v>
      </x:c>
    </x:row>
    <x:row r="50">
      <x:c r="A50" s="26" t="str">
        <x:v>A07</x:v>
      </x:c>
      <x:c r="B50" s="26" t="str">
        <x:v>Tecnologías Sectoriales Agroalimentarias</x:v>
      </x:c>
      <x:c r="C50" s="26" t="str">
        <x:v>F0705</x:v>
      </x:c>
      <x:c r="D50" s="26" t="str">
        <x:v>Tecnología de aceites y grasas</x:v>
      </x:c>
      <x:c r="E50" s="32" t="n">
        <x:v>0.3076923076923077</x:v>
      </x:c>
      <x:c r="F50" s="32" t="n">
        <x:v>0.23076923076923078</x:v>
      </x:c>
      <x:c r="G50" s="32" t="n">
        <x:v>0</x:v>
      </x:c>
      <x:c r="H50" s="26" t="str">
        <x:v>Selectiva</x:v>
      </x:c>
      <x:c r="I50" s="26" t="str"/>
      <x:c r="J50" s="32" t="n">
        <x:v>0.00787037037037037</x:v>
      </x:c>
      <x:c r="K50" s="33" t="n">
        <x:v>78.125</x:v>
      </x:c>
      <x:c r="L50" s="26" t="str">
        <x:v>E4 Integración/especialización</x:v>
      </x:c>
      <x:c r="M50" s="26" t="str">
        <x:v>N2</x:v>
      </x:c>
      <x:c r="N50" s="26" t="str">
        <x:v>AUSENTE</x:v>
      </x:c>
      <x:c r="O50" s="26" t="str"/>
      <x:c r="P50" s="26" t="n">
        <x:v>0</x:v>
      </x:c>
      <x:c r="Q50" s="32" t="n">
        <x:f>P50/135</x:f>
        <x:v>0</x:v>
      </x:c>
      <x:c r="R50" s="32" t="n">
        <x:f>IF(J50=0,"",Q50/J50)</x:f>
        <x:v>0</x:v>
      </x:c>
      <x:c r="S50" s="33"/>
      <x:c r="T50" s="26" t="str">
        <x:v>NR</x:v>
      </x:c>
      <x:c r="U50" s="26" t="str">
        <x:v>NR</x:v>
      </x:c>
      <x:c r="V50" s="26" t="str"/>
      <x:c r="W50" s="26" t="str"/>
      <x:c r="X50" s="26" t="str"/>
      <x:c r="Y50" s="26" t="str"/>
      <x:c r="Z50" s="26" t="str">
        <x:v>AUSENCIA</x:v>
      </x:c>
      <x:c r="AA50" s="26" t="str">
        <x:v>NO PRIORIZAR</x:v>
      </x:c>
      <x:c r="AB50" s="26" t="str">
        <x:v>Baja</x:v>
      </x:c>
      <x:c r="AC50" s="26" t="str">
        <x:v>Ausencia sin suficiente evidencia internacional + EPN para justificar una nueva materia en esta fase.</x:v>
      </x:c>
    </x:row>
    <x:row r="51">
      <x:c r="A51" s="26" t="str">
        <x:v>A07</x:v>
      </x:c>
      <x:c r="B51" s="26" t="str">
        <x:v>Tecnologías Sectoriales Agroalimentarias</x:v>
      </x:c>
      <x:c r="C51" s="26" t="str">
        <x:v>F0706</x:v>
      </x:c>
      <x:c r="D51" s="26" t="str">
        <x:v>Tecnología de vino, cerveza y bebidas alcohólicas</x:v>
      </x:c>
      <x:c r="E51" s="32" t="n">
        <x:v>0.46153846153846156</x:v>
      </x:c>
      <x:c r="F51" s="32" t="n">
        <x:v>0.46153846153846156</x:v>
      </x:c>
      <x:c r="G51" s="32" t="n">
        <x:v>0</x:v>
      </x:c>
      <x:c r="H51" s="26" t="str">
        <x:v>Selectiva</x:v>
      </x:c>
      <x:c r="I51" s="26" t="str"/>
      <x:c r="J51" s="32" t="n">
        <x:v>0.011342592592592593</x:v>
      </x:c>
      <x:c r="K51" s="33" t="n">
        <x:v>78.125</x:v>
      </x:c>
      <x:c r="L51" s="26" t="str">
        <x:v>E4 Integración/especialización</x:v>
      </x:c>
      <x:c r="M51" s="26" t="str">
        <x:v>N2</x:v>
      </x:c>
      <x:c r="N51" s="26" t="str">
        <x:v>AUSENTE</x:v>
      </x:c>
      <x:c r="O51" s="26" t="str"/>
      <x:c r="P51" s="26" t="n">
        <x:v>0</x:v>
      </x:c>
      <x:c r="Q51" s="32" t="n">
        <x:f>P51/135</x:f>
        <x:v>0</x:v>
      </x:c>
      <x:c r="R51" s="32" t="n">
        <x:f>IF(J51=0,"",Q51/J51)</x:f>
        <x:v>0</x:v>
      </x:c>
      <x:c r="S51" s="33"/>
      <x:c r="T51" s="26" t="str">
        <x:v>NR</x:v>
      </x:c>
      <x:c r="U51" s="26" t="str">
        <x:v>NR</x:v>
      </x:c>
      <x:c r="V51" s="26" t="str"/>
      <x:c r="W51" s="26" t="str"/>
      <x:c r="X51" s="26" t="str"/>
      <x:c r="Y51" s="26" t="str"/>
      <x:c r="Z51" s="26" t="str">
        <x:v>AUSENCIA</x:v>
      </x:c>
      <x:c r="AA51" s="26" t="str">
        <x:v>NO PRIORIZAR</x:v>
      </x:c>
      <x:c r="AB51" s="26" t="str">
        <x:v>Baja</x:v>
      </x:c>
      <x:c r="AC51" s="26" t="str">
        <x:v>Ausencia sin suficiente evidencia internacional + EPN para justificar una nueva materia en esta fase.</x:v>
      </x:c>
    </x:row>
    <x:row r="52">
      <x:c r="A52" s="26" t="str">
        <x:v>A07</x:v>
      </x:c>
      <x:c r="B52" s="26" t="str">
        <x:v>Tecnologías Sectoriales Agroalimentarias</x:v>
      </x:c>
      <x:c r="C52" s="26" t="str">
        <x:v>F0707</x:v>
      </x:c>
      <x:c r="D52" s="26" t="str">
        <x:v>Fermentaciones y productos fermentados</x:v>
      </x:c>
      <x:c r="E52" s="32" t="n">
        <x:v>0.07692307692307693</x:v>
      </x:c>
      <x:c r="F52" s="32" t="n">
        <x:v>0.07692307692307693</x:v>
      </x:c>
      <x:c r="G52" s="32" t="n">
        <x:v>0</x:v>
      </x:c>
      <x:c r="H52" s="26" t="str">
        <x:v>Baja prevalencia</x:v>
      </x:c>
      <x:c r="I52" s="26" t="str">
        <x:v>Nicho / especialización</x:v>
      </x:c>
      <x:c r="J52" s="32" t="n">
        <x:v>0.0020833333333333333</x:v>
      </x:c>
      <x:c r="K52" s="33" t="n">
        <x:v>56.25</x:v>
      </x:c>
      <x:c r="L52" s="26" t="str">
        <x:v>E3 Formación profesional</x:v>
      </x:c>
      <x:c r="M52" s="26" t="str">
        <x:v>N2</x:v>
      </x:c>
      <x:c r="N52" s="26" t="str">
        <x:v>AUSENTE</x:v>
      </x:c>
      <x:c r="O52" s="26" t="str"/>
      <x:c r="P52" s="26" t="n">
        <x:v>0</x:v>
      </x:c>
      <x:c r="Q52" s="32" t="n">
        <x:f>P52/135</x:f>
        <x:v>0</x:v>
      </x:c>
      <x:c r="R52" s="32" t="n">
        <x:f>IF(J52=0,"",Q52/J52)</x:f>
        <x:v>0</x:v>
      </x:c>
      <x:c r="S52" s="33"/>
      <x:c r="T52" s="26" t="str">
        <x:v>NR</x:v>
      </x:c>
      <x:c r="U52" s="26" t="str">
        <x:v>NR</x:v>
      </x:c>
      <x:c r="V52" s="26" t="str"/>
      <x:c r="W52" s="26" t="str"/>
      <x:c r="X52" s="26" t="str"/>
      <x:c r="Y52" s="26" t="str"/>
      <x:c r="Z52" s="26" t="str">
        <x:v>AUSENCIA</x:v>
      </x:c>
      <x:c r="AA52" s="26" t="str">
        <x:v>NO PRIORIZAR</x:v>
      </x:c>
      <x:c r="AB52" s="26" t="str">
        <x:v>Baja</x:v>
      </x:c>
      <x:c r="AC52" s="26" t="str">
        <x:v>Ausencia sin suficiente evidencia internacional + EPN para justificar una nueva materia en esta fase.</x:v>
      </x:c>
    </x:row>
    <x:row r="53">
      <x:c r="A53" s="26" t="str">
        <x:v>A07</x:v>
      </x:c>
      <x:c r="B53" s="26" t="str">
        <x:v>Tecnologías Sectoriales Agroalimentarias</x:v>
      </x:c>
      <x:c r="C53" s="26" t="str">
        <x:v>F0708</x:v>
      </x:c>
      <x:c r="D53" s="26" t="str">
        <x:v>Tecnología de recursos marinos</x:v>
      </x:c>
      <x:c r="E53" s="32" t="n">
        <x:v>0.07692307692307693</x:v>
      </x:c>
      <x:c r="F53" s="32" t="n">
        <x:v>0.07692307692307693</x:v>
      </x:c>
      <x:c r="G53" s="32" t="n">
        <x:v>0</x:v>
      </x:c>
      <x:c r="H53" s="26" t="str">
        <x:v>Baja prevalencia</x:v>
      </x:c>
      <x:c r="I53" s="26" t="str">
        <x:v>Nicho / especialización</x:v>
      </x:c>
      <x:c r="J53" s="32" t="n">
        <x:v>0</x:v>
      </x:c>
      <x:c r="K53" s="33" t="n">
        <x:v>58.333333333333336</x:v>
      </x:c>
      <x:c r="L53" s="26" t="str">
        <x:v>E3 Formación profesional</x:v>
      </x:c>
      <x:c r="M53" s="26" t="str">
        <x:v>N2</x:v>
      </x:c>
      <x:c r="N53" s="26" t="str">
        <x:v>AUSENTE</x:v>
      </x:c>
      <x:c r="O53" s="26" t="str"/>
      <x:c r="P53" s="26" t="n">
        <x:v>0</x:v>
      </x:c>
      <x:c r="Q53" s="32" t="n">
        <x:f>P53/135</x:f>
        <x:v>0</x:v>
      </x:c>
      <x:c r="R53" s="32" t="str">
        <x:f>IF(J53=0,"",Q53/J53)</x:f>
      </x:c>
      <x:c r="S53" s="33"/>
      <x:c r="T53" s="26" t="str">
        <x:v>NR</x:v>
      </x:c>
      <x:c r="U53" s="26" t="str">
        <x:v>NR</x:v>
      </x:c>
      <x:c r="V53" s="26" t="str"/>
      <x:c r="W53" s="26" t="str"/>
      <x:c r="X53" s="26" t="str"/>
      <x:c r="Y53" s="26" t="str"/>
      <x:c r="Z53" s="26" t="str">
        <x:v>AUSENCIA</x:v>
      </x:c>
      <x:c r="AA53" s="26" t="str">
        <x:v>NO PRIORIZAR</x:v>
      </x:c>
      <x:c r="AB53" s="26" t="str">
        <x:v>Baja</x:v>
      </x:c>
      <x:c r="AC53" s="26" t="str">
        <x:v>Ausencia sin suficiente evidencia internacional + EPN para justificar una nueva materia en esta fase.</x:v>
      </x:c>
    </x:row>
    <x:row r="54">
      <x:c r="A54" s="26" t="str">
        <x:v>A07</x:v>
      </x:c>
      <x:c r="B54" s="26" t="str">
        <x:v>Tecnologías Sectoriales Agroalimentarias</x:v>
      </x:c>
      <x:c r="C54" s="26" t="str">
        <x:v>F0709</x:v>
      </x:c>
      <x:c r="D54" s="26" t="str">
        <x:v>Alimentos alternativos y proteínas emergentes</x:v>
      </x:c>
      <x:c r="E54" s="32" t="n">
        <x:v>0.07692307692307693</x:v>
      </x:c>
      <x:c r="F54" s="32" t="n">
        <x:v>0</x:v>
      </x:c>
      <x:c r="G54" s="32" t="n">
        <x:v>0.14285714285714285</x:v>
      </x:c>
      <x:c r="H54" s="26" t="str">
        <x:v>Baja prevalencia</x:v>
      </x:c>
      <x:c r="I54" s="26" t="str">
        <x:v>Nicho / especialización</x:v>
      </x:c>
      <x:c r="J54" s="32" t="n">
        <x:v>0</x:v>
      </x:c>
      <x:c r="K54" s="33" t="n">
        <x:v>75</x:v>
      </x:c>
      <x:c r="L54" s="26" t="str">
        <x:v>E3 Formación profesional</x:v>
      </x:c>
      <x:c r="M54" s="26" t="str">
        <x:v>N2</x:v>
      </x:c>
      <x:c r="N54" s="26" t="str">
        <x:v>AUSENTE</x:v>
      </x:c>
      <x:c r="O54" s="26" t="str"/>
      <x:c r="P54" s="26" t="n">
        <x:v>0</x:v>
      </x:c>
      <x:c r="Q54" s="32" t="n">
        <x:f>P54/135</x:f>
        <x:v>0</x:v>
      </x:c>
      <x:c r="R54" s="32" t="str">
        <x:f>IF(J54=0,"",Q54/J54)</x:f>
      </x:c>
      <x:c r="S54" s="33"/>
      <x:c r="T54" s="26" t="str">
        <x:v>NR</x:v>
      </x:c>
      <x:c r="U54" s="26" t="str">
        <x:v>NR</x:v>
      </x:c>
      <x:c r="V54" s="26" t="str"/>
      <x:c r="W54" s="26" t="str"/>
      <x:c r="X54" s="26" t="str"/>
      <x:c r="Y54" s="26" t="str"/>
      <x:c r="Z54" s="26" t="str">
        <x:v>AUSENCIA</x:v>
      </x:c>
      <x:c r="AA54" s="26" t="str">
        <x:v>NO PRIORIZAR</x:v>
      </x:c>
      <x:c r="AB54" s="26" t="str">
        <x:v>Baja</x:v>
      </x:c>
      <x:c r="AC54" s="26" t="str">
        <x:v>Ausencia sin suficiente evidencia internacional + EPN para justificar una nueva materia en esta fase.</x:v>
      </x:c>
    </x:row>
    <x:row r="55">
      <x:c r="A55" s="26" t="str">
        <x:v>A07</x:v>
      </x:c>
      <x:c r="B55" s="26" t="str">
        <x:v>Tecnologías Sectoriales Agroalimentarias</x:v>
      </x:c>
      <x:c r="C55" s="26" t="str">
        <x:v>F0710</x:v>
      </x:c>
      <x:c r="D55" s="26" t="str">
        <x:v>Otras industrias alimentarias y extractivas</x:v>
      </x:c>
      <x:c r="E55" s="32" t="n">
        <x:v>0.23076923076923078</x:v>
      </x:c>
      <x:c r="F55" s="32" t="n">
        <x:v>0.15384615384615385</x:v>
      </x:c>
      <x:c r="G55" s="32" t="n">
        <x:v>0.14285714285714285</x:v>
      </x:c>
      <x:c r="H55" s="26" t="str">
        <x:v>Baja prevalencia</x:v>
      </x:c>
      <x:c r="I55" s="26" t="str">
        <x:v>Nicho / especialización</x:v>
      </x:c>
      <x:c r="J55" s="32" t="n">
        <x:v>0</x:v>
      </x:c>
      <x:c r="K55" s="33" t="n">
        <x:v>58.333333333333336</x:v>
      </x:c>
      <x:c r="L55" s="26" t="str">
        <x:v>E3 Formación profesional</x:v>
      </x:c>
      <x:c r="M55" s="26" t="str">
        <x:v>N2</x:v>
      </x:c>
      <x:c r="N55" s="26" t="str">
        <x:v>AUSENTE</x:v>
      </x:c>
      <x:c r="O55" s="26" t="str"/>
      <x:c r="P55" s="26" t="n">
        <x:v>0</x:v>
      </x:c>
      <x:c r="Q55" s="32" t="n">
        <x:f>P55/135</x:f>
        <x:v>0</x:v>
      </x:c>
      <x:c r="R55" s="32" t="str">
        <x:f>IF(J55=0,"",Q55/J55)</x:f>
      </x:c>
      <x:c r="S55" s="33"/>
      <x:c r="T55" s="26" t="str">
        <x:v>NR</x:v>
      </x:c>
      <x:c r="U55" s="26" t="str">
        <x:v>NR</x:v>
      </x:c>
      <x:c r="V55" s="26" t="str"/>
      <x:c r="W55" s="26" t="str"/>
      <x:c r="X55" s="26" t="str"/>
      <x:c r="Y55" s="26" t="str"/>
      <x:c r="Z55" s="26" t="str">
        <x:v>AUSENCIA</x:v>
      </x:c>
      <x:c r="AA55" s="26" t="str">
        <x:v>NO PRIORIZAR</x:v>
      </x:c>
      <x:c r="AB55" s="26" t="str">
        <x:v>Baja</x:v>
      </x:c>
      <x:c r="AC55" s="26" t="str">
        <x:v>Ausencia sin suficiente evidencia internacional + EPN para justificar una nueva materia en esta fase.</x:v>
      </x:c>
    </x:row>
    <x:row r="56">
      <x:c r="A56" s="26" t="str">
        <x:v>A08</x:v>
      </x:c>
      <x:c r="B56" s="26" t="str">
        <x:v>Calidad, Inocuidad, Análisis y Regulación</x:v>
      </x:c>
      <x:c r="C56" s="26" t="str">
        <x:v>F0801</x:v>
      </x:c>
      <x:c r="D56" s="26" t="str">
        <x:v>Análisis químico, físico e instrumental de alimentos</x:v>
      </x:c>
      <x:c r="E56" s="32" t="n">
        <x:v>0.5384615384615384</x:v>
      </x:c>
      <x:c r="F56" s="32" t="n">
        <x:v>0.5384615384615384</x:v>
      </x:c>
      <x:c r="G56" s="32" t="n">
        <x:v>0</x:v>
      </x:c>
      <x:c r="H56" s="26" t="str">
        <x:v>Consolidada</x:v>
      </x:c>
      <x:c r="I56" s="26" t="str"/>
      <x:c r="J56" s="32" t="n">
        <x:v>0.014351851851851852</x:v>
      </x:c>
      <x:c r="K56" s="33" t="n">
        <x:v>75</x:v>
      </x:c>
      <x:c r="L56" s="26" t="str">
        <x:v>E3 Formación profesional</x:v>
      </x:c>
      <x:c r="M56" s="26" t="str">
        <x:v>N2</x:v>
      </x:c>
      <x:c r="N56" s="26" t="str">
        <x:v>CORE_PRINCIPAL</x:v>
      </x:c>
      <x:c r="O56" s="26" t="str">
        <x:v>AGRD354 Análisis Instrumental y de Alimentos</x:v>
      </x:c>
      <x:c r="P56" s="26" t="n">
        <x:v>4</x:v>
      </x:c>
      <x:c r="Q56" s="32" t="n">
        <x:f>P56/135</x:f>
        <x:v>0.02962962962962963</x:v>
      </x:c>
      <x:c r="R56" s="32" t="n">
        <x:f>IF(J56=0,"",Q56/J56)</x:f>
        <x:v>2.064516129032258</x:v>
      </x:c>
      <x:c r="S56" s="33" t="n">
        <x:v>27.77777777777778</x:v>
      </x:c>
      <x:c r="T56" s="26" t="str">
        <x:v>E2 Fundamentos de ingeniería</x:v>
      </x:c>
      <x:c r="U56" s="26" t="str">
        <x:v>N2</x:v>
      </x:c>
      <x:c r="V56" s="26" t="str">
        <x:v>AGRD354L</x:v>
      </x:c>
      <x:c r="W56" s="26" t="str"/>
      <x:c r="X56" s="26" t="str"/>
      <x:c r="Y56" s="26" t="str"/>
      <x:c r="Z56" s="26" t="str">
        <x:v>CUBIERTA</x:v>
      </x:c>
      <x:c r="AA56" s="26" t="str">
        <x:v>MANTENER</x:v>
      </x:c>
      <x:c r="AB56" s="26" t="str">
        <x:v>Media</x:v>
      </x:c>
      <x:c r="AC56" s="26" t="str">
        <x:v>Cobertura explícita en la malla EPN y sin brecha prioritaria suficiente para justificar aumento de carga.</x:v>
      </x:c>
    </x:row>
    <x:row r="57">
      <x:c r="A57" s="26" t="str">
        <x:v>A08</x:v>
      </x:c>
      <x:c r="B57" s="26" t="str">
        <x:v>Calidad, Inocuidad, Análisis y Regulación</x:v>
      </x:c>
      <x:c r="C57" s="26" t="str">
        <x:v>F0802</x:v>
      </x:c>
      <x:c r="D57" s="26" t="str">
        <x:v>Análisis sensorial y evaluación organoléptica</x:v>
      </x:c>
      <x:c r="E57" s="32" t="n">
        <x:v>0.38461538461538464</x:v>
      </x:c>
      <x:c r="F57" s="32" t="n">
        <x:v>0.23076923076923078</x:v>
      </x:c>
      <x:c r="G57" s="32" t="n">
        <x:v>0.14285714285714285</x:v>
      </x:c>
      <x:c r="H57" s="26" t="str">
        <x:v>Selectiva</x:v>
      </x:c>
      <x:c r="I57" s="26" t="str"/>
      <x:c r="J57" s="32" t="n">
        <x:v>0.0061342592592592594</x:v>
      </x:c>
      <x:c r="K57" s="33" t="n">
        <x:v>68.75</x:v>
      </x:c>
      <x:c r="L57" s="26" t="str">
        <x:v>E3 Formación profesional</x:v>
      </x:c>
      <x:c r="M57" s="26" t="str">
        <x:v>N2</x:v>
      </x:c>
      <x:c r="N57" s="26" t="str">
        <x:v>AUSENTE</x:v>
      </x:c>
      <x:c r="O57" s="26" t="str"/>
      <x:c r="P57" s="26" t="n">
        <x:v>0</x:v>
      </x:c>
      <x:c r="Q57" s="32" t="n">
        <x:f>P57/135</x:f>
        <x:v>0</x:v>
      </x:c>
      <x:c r="R57" s="32" t="n">
        <x:f>IF(J57=0,"",Q57/J57)</x:f>
        <x:v>0</x:v>
      </x:c>
      <x:c r="S57" s="33"/>
      <x:c r="T57" s="26" t="str">
        <x:v>NR</x:v>
      </x:c>
      <x:c r="U57" s="26" t="str">
        <x:v>NR</x:v>
      </x:c>
      <x:c r="V57" s="26" t="str"/>
      <x:c r="W57" s="26" t="str"/>
      <x:c r="X57" s="26" t="str"/>
      <x:c r="Y57" s="26" t="str"/>
      <x:c r="Z57" s="26" t="str">
        <x:v>AUSENCIA</x:v>
      </x:c>
      <x:c r="AA57" s="26" t="str">
        <x:v>NO PRIORIZAR</x:v>
      </x:c>
      <x:c r="AB57" s="26" t="str">
        <x:v>Baja</x:v>
      </x:c>
      <x:c r="AC57" s="26" t="str">
        <x:v>Ausencia sin suficiente evidencia internacional + EPN para justificar una nueva materia en esta fase.</x:v>
      </x:c>
    </x:row>
    <x:row r="58">
      <x:c r="A58" s="26" t="str">
        <x:v>A08</x:v>
      </x:c>
      <x:c r="B58" s="26" t="str">
        <x:v>Calidad, Inocuidad, Análisis y Regulación</x:v>
      </x:c>
      <x:c r="C58" s="26" t="str">
        <x:v>F0803</x:v>
      </x:c>
      <x:c r="D58" s="26" t="str">
        <x:v>Gestión y aseguramiento de la calidad</x:v>
      </x:c>
      <x:c r="E58" s="32" t="n">
        <x:v>0.8461538461538461</x:v>
      </x:c>
      <x:c r="F58" s="32" t="n">
        <x:v>0.7692307692307693</x:v>
      </x:c>
      <x:c r="G58" s="32" t="n">
        <x:v>0.2857142857142857</x:v>
      </x:c>
      <x:c r="H58" s="26" t="str">
        <x:v>Universal / núcleo</x:v>
      </x:c>
      <x:c r="I58" s="26" t="str"/>
      <x:c r="J58" s="32" t="n">
        <x:v>0.024652777777777773</x:v>
      </x:c>
      <x:c r="K58" s="33" t="n">
        <x:v>75</x:v>
      </x:c>
      <x:c r="L58" s="26" t="str">
        <x:v>E3 Formación profesional</x:v>
      </x:c>
      <x:c r="M58" s="26" t="str">
        <x:v>N2</x:v>
      </x:c>
      <x:c r="N58" s="26" t="str">
        <x:v>CORE_PRINCIPAL</x:v>
      </x:c>
      <x:c r="O58" s="26" t="str">
        <x:v>AGRD842 Aseguramiento Estadístico de la Calidad; ADMD611 Gestión de Procesos y Calidad</x:v>
      </x:c>
      <x:c r="P58" s="26" t="n">
        <x:v>3</x:v>
      </x:c>
      <x:c r="Q58" s="32" t="n">
        <x:f>P58/135</x:f>
        <x:v>0.022222222222222223</x:v>
      </x:c>
      <x:c r="R58" s="32" t="n">
        <x:f>IF(J58=0,"",Q58/J58)</x:f>
        <x:v>0.9014084507042256</x:v>
      </x:c>
      <x:c r="S58" s="33" t="n">
        <x:v>83.33333333333334</x:v>
      </x:c>
      <x:c r="T58" s="26" t="str">
        <x:v>E4 Integración/especialización</x:v>
      </x:c>
      <x:c r="U58" s="26" t="str">
        <x:v>N2</x:v>
      </x:c>
      <x:c r="V58" s="26" t="str"/>
      <x:c r="W58" s="26" t="str">
        <x:v>PP2; PP4; CPIA2; CPIA3; CPIA5</x:v>
      </x:c>
      <x:c r="X58" s="26" t="str">
        <x:v>S05</x:v>
      </x:c>
      <x:c r="Y58" s="26" t="str">
        <x:v>Alta</x:v>
      </x:c>
      <x:c r="Z58" s="26" t="str">
        <x:v>COBERTURA_PRESENTE_PERO_INSUFICIENTE/ACTUALIZAR</x:v>
      </x:c>
      <x:c r="AA58" s="26" t="str">
        <x:v>REFORZAR</x:v>
      </x:c>
      <x:c r="AB58" s="26" t="str">
        <x:v>Muy alta</x:v>
      </x:c>
      <x:c r="AC58" s="26" t="str">
        <x:v>La familia ya está en la malla, pero graduados/empleadores o el perfil actualizado demandan mayor profundidad, práctica o actualidad.</x:v>
      </x:c>
    </x:row>
    <x:row r="59">
      <x:c r="A59" s="26" t="str">
        <x:v>A08</x:v>
      </x:c>
      <x:c r="B59" s="26" t="str">
        <x:v>Calidad, Inocuidad, Análisis y Regulación</x:v>
      </x:c>
      <x:c r="C59" s="26" t="str">
        <x:v>F0804</x:v>
      </x:c>
      <x:c r="D59" s="26" t="str">
        <x:v>Inocuidad y seguridad alimentaria / HACCP</x:v>
      </x:c>
      <x:c r="E59" s="32" t="n">
        <x:v>0.38461538461538464</x:v>
      </x:c>
      <x:c r="F59" s="32" t="n">
        <x:v>0.38461538461538464</x:v>
      </x:c>
      <x:c r="G59" s="32" t="n">
        <x:v>0.14285714285714285</x:v>
      </x:c>
      <x:c r="H59" s="26" t="str">
        <x:v>Selectiva</x:v>
      </x:c>
      <x:c r="I59" s="26" t="str"/>
      <x:c r="J59" s="32" t="n">
        <x:v>0.008680555555555554</x:v>
      </x:c>
      <x:c r="K59" s="33" t="n">
        <x:v>81.25</x:v>
      </x:c>
      <x:c r="L59" s="26" t="str">
        <x:v>E4 Integración/especialización</x:v>
      </x:c>
      <x:c r="M59" s="26" t="str">
        <x:v>N2</x:v>
      </x:c>
      <x:c r="N59" s="26" t="str">
        <x:v>AUSENTE</x:v>
      </x:c>
      <x:c r="O59" s="26" t="str"/>
      <x:c r="P59" s="26" t="n">
        <x:v>0</x:v>
      </x:c>
      <x:c r="Q59" s="32" t="n">
        <x:f>P59/135</x:f>
        <x:v>0</x:v>
      </x:c>
      <x:c r="R59" s="32" t="n">
        <x:f>IF(J59=0,"",Q59/J59)</x:f>
        <x:v>0</x:v>
      </x:c>
      <x:c r="S59" s="33"/>
      <x:c r="T59" s="26" t="str">
        <x:v>NR</x:v>
      </x:c>
      <x:c r="U59" s="26" t="str">
        <x:v>NR</x:v>
      </x:c>
      <x:c r="V59" s="26" t="str"/>
      <x:c r="W59" s="26" t="str">
        <x:v>PP2; PP4; CPIA2; CPIA3</x:v>
      </x:c>
      <x:c r="X59" s="26" t="str">
        <x:v>S05</x:v>
      </x:c>
      <x:c r="Y59" s="26" t="str">
        <x:v>Alta</x:v>
      </x:c>
      <x:c r="Z59" s="26" t="str">
        <x:v>AUSENCIA</x:v>
      </x:c>
      <x:c r="AA59" s="26" t="str">
        <x:v>AÑADIR</x:v>
      </x:c>
      <x:c r="AB59" s="26" t="str">
        <x:v>Muy alta</x:v>
      </x:c>
      <x:c r="AC59" s="26" t="str">
        <x:v>Inocuidad/HACCP no aparece explícita en la malla central y es prioritaria para perfil, calidad y empleadores. Proponer unidad/asignatura explícita de inocuidad y gestión de riesgos alimentarios.</x:v>
      </x:c>
    </x:row>
    <x:row r="60">
      <x:c r="A60" s="26" t="str">
        <x:v>A08</x:v>
      </x:c>
      <x:c r="B60" s="26" t="str">
        <x:v>Calidad, Inocuidad, Análisis y Regulación</x:v>
      </x:c>
      <x:c r="C60" s="26" t="str">
        <x:v>F0805</x:v>
      </x:c>
      <x:c r="D60" s="26" t="str">
        <x:v>Higiene, saneamiento y diseño higiénico</x:v>
      </x:c>
      <x:c r="E60" s="32" t="n">
        <x:v>0.23076923076923078</x:v>
      </x:c>
      <x:c r="F60" s="32" t="n">
        <x:v>0.23076923076923078</x:v>
      </x:c>
      <x:c r="G60" s="32" t="n">
        <x:v>0</x:v>
      </x:c>
      <x:c r="H60" s="26" t="str">
        <x:v>Baja prevalencia</x:v>
      </x:c>
      <x:c r="I60" s="26" t="str">
        <x:v>Nicho / especialización</x:v>
      </x:c>
      <x:c r="J60" s="32" t="n">
        <x:v>0.010185185185185184</x:v>
      </x:c>
      <x:c r="K60" s="33" t="n">
        <x:v>91.66666666666666</x:v>
      </x:c>
      <x:c r="L60" s="26" t="str">
        <x:v>E4 Integración/especialización</x:v>
      </x:c>
      <x:c r="M60" s="26" t="str">
        <x:v>N2</x:v>
      </x:c>
      <x:c r="N60" s="26" t="str">
        <x:v>AUSENTE</x:v>
      </x:c>
      <x:c r="O60" s="26" t="str"/>
      <x:c r="P60" s="26" t="n">
        <x:v>0</x:v>
      </x:c>
      <x:c r="Q60" s="32" t="n">
        <x:f>P60/135</x:f>
        <x:v>0</x:v>
      </x:c>
      <x:c r="R60" s="32" t="n">
        <x:f>IF(J60=0,"",Q60/J60)</x:f>
        <x:v>0</x:v>
      </x:c>
      <x:c r="S60" s="33"/>
      <x:c r="T60" s="26" t="str">
        <x:v>NR</x:v>
      </x:c>
      <x:c r="U60" s="26" t="str">
        <x:v>NR</x:v>
      </x:c>
      <x:c r="V60" s="26" t="str"/>
      <x:c r="W60" s="26" t="str"/>
      <x:c r="X60" s="26" t="str"/>
      <x:c r="Y60" s="26" t="str"/>
      <x:c r="Z60" s="26" t="str">
        <x:v>AUSENCIA</x:v>
      </x:c>
      <x:c r="AA60" s="26" t="str">
        <x:v>INTEGRAR</x:v>
      </x:c>
      <x:c r="AB60" s="26" t="str">
        <x:v>Media</x:v>
      </x:c>
      <x:c r="AC60" s="26" t="str">
        <x:v>Demanda EPN/perfil relevante; incorporar como resultado transversal o módulo antes de crear una asignatura independiente.</x:v>
      </x:c>
    </x:row>
    <x:row r="61">
      <x:c r="A61" s="26" t="str">
        <x:v>A08</x:v>
      </x:c>
      <x:c r="B61" s="26" t="str">
        <x:v>Calidad, Inocuidad, Análisis y Regulación</x:v>
      </x:c>
      <x:c r="C61" s="26" t="str">
        <x:v>F0806</x:v>
      </x:c>
      <x:c r="D61" s="26" t="str">
        <x:v>Derecho, regulación y etiquetado alimentario</x:v>
      </x:c>
      <x:c r="E61" s="32" t="n">
        <x:v>0.15384615384615385</x:v>
      </x:c>
      <x:c r="F61" s="32" t="n">
        <x:v>0.07692307692307693</x:v>
      </x:c>
      <x:c r="G61" s="32" t="n">
        <x:v>0</x:v>
      </x:c>
      <x:c r="H61" s="26" t="str">
        <x:v>Baja prevalencia</x:v>
      </x:c>
      <x:c r="I61" s="26" t="str">
        <x:v>Nicho / especialización</x:v>
      </x:c>
      <x:c r="J61" s="32" t="n">
        <x:v>0.002777777777777778</x:v>
      </x:c>
      <x:c r="K61" s="33" t="n">
        <x:v>66.66666666666667</x:v>
      </x:c>
      <x:c r="L61" s="26" t="str">
        <x:v>E3 Formación profesional</x:v>
      </x:c>
      <x:c r="M61" s="26" t="str">
        <x:v>N2</x:v>
      </x:c>
      <x:c r="N61" s="26" t="str">
        <x:v>AUSENTE</x:v>
      </x:c>
      <x:c r="O61" s="26" t="str"/>
      <x:c r="P61" s="26" t="n">
        <x:v>0</x:v>
      </x:c>
      <x:c r="Q61" s="32" t="n">
        <x:f>P61/135</x:f>
        <x:v>0</x:v>
      </x:c>
      <x:c r="R61" s="32" t="n">
        <x:f>IF(J61=0,"",Q61/J61)</x:f>
        <x:v>0</x:v>
      </x:c>
      <x:c r="S61" s="33"/>
      <x:c r="T61" s="26" t="str">
        <x:v>NR</x:v>
      </x:c>
      <x:c r="U61" s="26" t="str">
        <x:v>NR</x:v>
      </x:c>
      <x:c r="V61" s="26" t="str"/>
      <x:c r="W61" s="26" t="str"/>
      <x:c r="X61" s="26" t="str"/>
      <x:c r="Y61" s="26" t="str"/>
      <x:c r="Z61" s="26" t="str">
        <x:v>AUSENCIA</x:v>
      </x:c>
      <x:c r="AA61" s="26" t="str">
        <x:v>NO PRIORIZAR</x:v>
      </x:c>
      <x:c r="AB61" s="26" t="str">
        <x:v>Baja</x:v>
      </x:c>
      <x:c r="AC61" s="26" t="str">
        <x:v>Ausencia sin suficiente evidencia internacional + EPN para justificar una nueva materia en esta fase.</x:v>
      </x:c>
    </x:row>
    <x:row r="62">
      <x:c r="A62" s="26" t="str">
        <x:v>A08</x:v>
      </x:c>
      <x:c r="B62" s="26" t="str">
        <x:v>Calidad, Inocuidad, Análisis y Regulación</x:v>
      </x:c>
      <x:c r="C62" s="26" t="str">
        <x:v>F0807</x:v>
      </x:c>
      <x:c r="D62" s="26" t="str">
        <x:v>Trazabilidad, certificación y auditoría</x:v>
      </x:c>
      <x:c r="E62" s="32" t="n">
        <x:v>0</x:v>
      </x:c>
      <x:c r="F62" s="32" t="n">
        <x:v>0</x:v>
      </x:c>
      <x:c r="G62" s="32" t="n">
        <x:v>0</x:v>
      </x:c>
      <x:c r="H62" s="26" t="str">
        <x:v>Baja prevalencia</x:v>
      </x:c>
      <x:c r="I62" s="26" t="str"/>
      <x:c r="J62" s="32" t="n">
        <x:v>0</x:v>
      </x:c>
      <x:c r="K62" s="33"/>
      <x:c r="L62" s="26" t="str">
        <x:v>NR</x:v>
      </x:c>
      <x:c r="M62" s="26" t="str">
        <x:v>NR</x:v>
      </x:c>
      <x:c r="N62" s="26" t="str">
        <x:v>AUSENTE</x:v>
      </x:c>
      <x:c r="O62" s="26" t="str"/>
      <x:c r="P62" s="26" t="n">
        <x:v>0</x:v>
      </x:c>
      <x:c r="Q62" s="32" t="n">
        <x:f>P62/135</x:f>
        <x:v>0</x:v>
      </x:c>
      <x:c r="R62" s="32" t="str">
        <x:f>IF(J62=0,"",Q62/J62)</x:f>
      </x:c>
      <x:c r="S62" s="33"/>
      <x:c r="T62" s="26" t="str">
        <x:v>NR</x:v>
      </x:c>
      <x:c r="U62" s="26" t="str">
        <x:v>NR</x:v>
      </x:c>
      <x:c r="V62" s="26" t="str"/>
      <x:c r="W62" s="26" t="str"/>
      <x:c r="X62" s="26" t="str"/>
      <x:c r="Y62" s="26" t="str"/>
      <x:c r="Z62" s="26" t="str">
        <x:v>AUSENCIA</x:v>
      </x:c>
      <x:c r="AA62" s="26" t="str">
        <x:v>INTEGRAR</x:v>
      </x:c>
      <x:c r="AB62" s="26" t="str">
        <x:v>Media</x:v>
      </x:c>
      <x:c r="AC62" s="26" t="str">
        <x:v>Demanda EPN/perfil relevante; incorporar como resultado transversal o módulo antes de crear una asignatura independiente.</x:v>
      </x:c>
    </x:row>
    <x:row r="63">
      <x:c r="A63" s="26" t="str">
        <x:v>A09</x:v>
      </x:c>
      <x:c r="B63" s="26" t="str">
        <x:v>Plantas, Equipos, Automatización y Digitalización</x:v>
      </x:c>
      <x:c r="C63" s="26" t="str">
        <x:v>F0901</x:v>
      </x:c>
      <x:c r="D63" s="26" t="str">
        <x:v>Diseño de plantas e industrias alimentarias</x:v>
      </x:c>
      <x:c r="E63" s="32" t="n">
        <x:v>0.3076923076923077</x:v>
      </x:c>
      <x:c r="F63" s="32" t="n">
        <x:v>0.3076923076923077</x:v>
      </x:c>
      <x:c r="G63" s="32" t="n">
        <x:v>0</x:v>
      </x:c>
      <x:c r="H63" s="26" t="str">
        <x:v>Selectiva</x:v>
      </x:c>
      <x:c r="I63" s="26" t="str"/>
      <x:c r="J63" s="32" t="n">
        <x:v>0.011111111111111113</x:v>
      </x:c>
      <x:c r="K63" s="33" t="n">
        <x:v>83.33333333333333</x:v>
      </x:c>
      <x:c r="L63" s="26" t="str">
        <x:v>E4 Integración/especialización</x:v>
      </x:c>
      <x:c r="M63" s="26" t="str">
        <x:v>N2–N3</x:v>
      </x:c>
      <x:c r="N63" s="26" t="str">
        <x:v>CORE_PRINCIPAL</x:v>
      </x:c>
      <x:c r="O63" s="26" t="str">
        <x:v>AGRD814 Diseño de Plantas Agroindustriales</x:v>
      </x:c>
      <x:c r="P63" s="26" t="n">
        <x:v>4</x:v>
      </x:c>
      <x:c r="Q63" s="32" t="n">
        <x:f>P63/135</x:f>
        <x:v>0.02962962962962963</x:v>
      </x:c>
      <x:c r="R63" s="32" t="n">
        <x:f>IF(J63=0,"",Q63/J63)</x:f>
        <x:v>2.666666666666666</x:v>
      </x:c>
      <x:c r="S63" s="33" t="n">
        <x:v>83.33333333333334</x:v>
      </x:c>
      <x:c r="T63" s="26" t="str">
        <x:v>E4 Integración/especialización</x:v>
      </x:c>
      <x:c r="U63" s="26" t="str">
        <x:v>N3</x:v>
      </x:c>
      <x:c r="V63" s="26" t="str"/>
      <x:c r="W63" s="26" t="str">
        <x:v>PP1; PP2; PP4; CPIA3; CPIA5</x:v>
      </x:c>
      <x:c r="X63" s="26" t="str"/>
      <x:c r="Y63" s="26" t="str"/>
      <x:c r="Z63" s="26" t="str">
        <x:v>CUBIERTA</x:v>
      </x:c>
      <x:c r="AA63" s="26" t="str">
        <x:v>MANTENER</x:v>
      </x:c>
      <x:c r="AB63" s="26" t="str">
        <x:v>Media</x:v>
      </x:c>
      <x:c r="AC63" s="26" t="str">
        <x:v>Familia explícitamente coherente con la identidad ingenieril EPN; su baja frecuencia en Food Science no justifica eliminación.</x:v>
      </x:c>
    </x:row>
    <x:row r="64">
      <x:c r="A64" s="26" t="str">
        <x:v>A09</x:v>
      </x:c>
      <x:c r="B64" s="26" t="str">
        <x:v>Plantas, Equipos, Automatización y Digitalización</x:v>
      </x:c>
      <x:c r="C64" s="26" t="str">
        <x:v>F0902</x:v>
      </x:c>
      <x:c r="D64" s="26" t="str">
        <x:v>Maquinaria y equipos de proceso</x:v>
      </x:c>
      <x:c r="E64" s="32" t="n">
        <x:v>0.23076923076923078</x:v>
      </x:c>
      <x:c r="F64" s="32" t="n">
        <x:v>0.15384615384615385</x:v>
      </x:c>
      <x:c r="G64" s="32" t="n">
        <x:v>0.14285714285714285</x:v>
      </x:c>
      <x:c r="H64" s="26" t="str">
        <x:v>Baja prevalencia</x:v>
      </x:c>
      <x:c r="I64" s="26" t="str">
        <x:v>Nicho / especialización</x:v>
      </x:c>
      <x:c r="J64" s="32" t="n">
        <x:v>0.005092592592592593</x:v>
      </x:c>
      <x:c r="K64" s="33" t="n">
        <x:v>91.66666666666666</x:v>
      </x:c>
      <x:c r="L64" s="26" t="str">
        <x:v>E4 Integración/especialización</x:v>
      </x:c>
      <x:c r="M64" s="26" t="str">
        <x:v>N2</x:v>
      </x:c>
      <x:c r="N64" s="26" t="str">
        <x:v>AUSENTE</x:v>
      </x:c>
      <x:c r="O64" s="26" t="str"/>
      <x:c r="P64" s="26" t="n">
        <x:v>0</x:v>
      </x:c>
      <x:c r="Q64" s="32" t="n">
        <x:f>P64/135</x:f>
        <x:v>0</x:v>
      </x:c>
      <x:c r="R64" s="32" t="n">
        <x:f>IF(J64=0,"",Q64/J64)</x:f>
        <x:v>0</x:v>
      </x:c>
      <x:c r="S64" s="33"/>
      <x:c r="T64" s="26" t="str">
        <x:v>NR</x:v>
      </x:c>
      <x:c r="U64" s="26" t="str">
        <x:v>NR</x:v>
      </x:c>
      <x:c r="V64" s="26" t="str"/>
      <x:c r="W64" s="26" t="str"/>
      <x:c r="X64" s="26" t="str"/>
      <x:c r="Y64" s="26" t="str"/>
      <x:c r="Z64" s="26" t="str">
        <x:v>AUSENCIA</x:v>
      </x:c>
      <x:c r="AA64" s="26" t="str">
        <x:v>NO PRIORIZAR</x:v>
      </x:c>
      <x:c r="AB64" s="26" t="str">
        <x:v>Baja</x:v>
      </x:c>
      <x:c r="AC64" s="26" t="str">
        <x:v>Ausencia sin suficiente evidencia internacional + EPN para justificar una nueva materia en esta fase.</x:v>
      </x:c>
    </x:row>
    <x:row r="65">
      <x:c r="A65" s="26" t="str">
        <x:v>A09</x:v>
      </x:c>
      <x:c r="B65" s="26" t="str">
        <x:v>Plantas, Equipos, Automatización y Digitalización</x:v>
      </x:c>
      <x:c r="C65" s="26" t="str">
        <x:v>F0903</x:v>
      </x:c>
      <x:c r="D65" s="26" t="str">
        <x:v>Instalaciones y servicios auxiliares</x:v>
      </x:c>
      <x:c r="E65" s="32" t="n">
        <x:v>0.38461538461538464</x:v>
      </x:c>
      <x:c r="F65" s="32" t="n">
        <x:v>0.38461538461538464</x:v>
      </x:c>
      <x:c r="G65" s="32" t="n">
        <x:v>0</x:v>
      </x:c>
      <x:c r="H65" s="26" t="str">
        <x:v>Selectiva</x:v>
      </x:c>
      <x:c r="I65" s="26" t="str"/>
      <x:c r="J65" s="32" t="n">
        <x:v>0.009722222222222222</x:v>
      </x:c>
      <x:c r="K65" s="33" t="n">
        <x:v>56.25</x:v>
      </x:c>
      <x:c r="L65" s="26" t="str">
        <x:v>E3 Formación profesional</x:v>
      </x:c>
      <x:c r="M65" s="26" t="str">
        <x:v>N2</x:v>
      </x:c>
      <x:c r="N65" s="26" t="str">
        <x:v>AUSENTE</x:v>
      </x:c>
      <x:c r="O65" s="26" t="str"/>
      <x:c r="P65" s="26" t="n">
        <x:v>0</x:v>
      </x:c>
      <x:c r="Q65" s="32" t="n">
        <x:f>P65/135</x:f>
        <x:v>0</x:v>
      </x:c>
      <x:c r="R65" s="32" t="n">
        <x:f>IF(J65=0,"",Q65/J65)</x:f>
        <x:v>0</x:v>
      </x:c>
      <x:c r="S65" s="33"/>
      <x:c r="T65" s="26" t="str">
        <x:v>NR</x:v>
      </x:c>
      <x:c r="U65" s="26" t="str">
        <x:v>NR</x:v>
      </x:c>
      <x:c r="V65" s="26" t="str"/>
      <x:c r="W65" s="26" t="str"/>
      <x:c r="X65" s="26" t="str"/>
      <x:c r="Y65" s="26" t="str"/>
      <x:c r="Z65" s="26" t="str">
        <x:v>AUSENCIA</x:v>
      </x:c>
      <x:c r="AA65" s="26" t="str">
        <x:v>NO PRIORIZAR</x:v>
      </x:c>
      <x:c r="AB65" s="26" t="str">
        <x:v>Baja</x:v>
      </x:c>
      <x:c r="AC65" s="26" t="str">
        <x:v>Ausencia sin suficiente evidencia internacional + EPN para justificar una nueva materia en esta fase.</x:v>
      </x:c>
    </x:row>
    <x:row r="66">
      <x:c r="A66" s="26" t="str">
        <x:v>A09</x:v>
      </x:c>
      <x:c r="B66" s="26" t="str">
        <x:v>Plantas, Equipos, Automatización y Digitalización</x:v>
      </x:c>
      <x:c r="C66" s="26" t="str">
        <x:v>F0904</x:v>
      </x:c>
      <x:c r="D66" s="26" t="str">
        <x:v>Construcciones agroindustriales</x:v>
      </x:c>
      <x:c r="E66" s="32" t="n">
        <x:v>0.23076923076923078</x:v>
      </x:c>
      <x:c r="F66" s="32" t="n">
        <x:v>0.23076923076923078</x:v>
      </x:c>
      <x:c r="G66" s="32" t="n">
        <x:v>0</x:v>
      </x:c>
      <x:c r="H66" s="26" t="str">
        <x:v>Baja prevalencia</x:v>
      </x:c>
      <x:c r="I66" s="26" t="str">
        <x:v>Nicho / especialización</x:v>
      </x:c>
      <x:c r="J66" s="32" t="n">
        <x:v>0.004166666666666667</x:v>
      </x:c>
      <x:c r="K66" s="33" t="n">
        <x:v>81.25</x:v>
      </x:c>
      <x:c r="L66" s="26" t="str">
        <x:v>E4 Integración/especialización</x:v>
      </x:c>
      <x:c r="M66" s="26" t="str">
        <x:v>N2</x:v>
      </x:c>
      <x:c r="N66" s="26" t="str">
        <x:v>AUSENTE</x:v>
      </x:c>
      <x:c r="O66" s="26" t="str"/>
      <x:c r="P66" s="26" t="n">
        <x:v>0</x:v>
      </x:c>
      <x:c r="Q66" s="32" t="n">
        <x:f>P66/135</x:f>
        <x:v>0</x:v>
      </x:c>
      <x:c r="R66" s="32" t="n">
        <x:f>IF(J66=0,"",Q66/J66)</x:f>
        <x:v>0</x:v>
      </x:c>
      <x:c r="S66" s="33"/>
      <x:c r="T66" s="26" t="str">
        <x:v>NR</x:v>
      </x:c>
      <x:c r="U66" s="26" t="str">
        <x:v>NR</x:v>
      </x:c>
      <x:c r="V66" s="26" t="str"/>
      <x:c r="W66" s="26" t="str"/>
      <x:c r="X66" s="26" t="str"/>
      <x:c r="Y66" s="26" t="str"/>
      <x:c r="Z66" s="26" t="str">
        <x:v>AUSENCIA</x:v>
      </x:c>
      <x:c r="AA66" s="26" t="str">
        <x:v>NO PRIORIZAR</x:v>
      </x:c>
      <x:c r="AB66" s="26" t="str">
        <x:v>Baja</x:v>
      </x:c>
      <x:c r="AC66" s="26" t="str">
        <x:v>Ausencia sin suficiente evidencia internacional + EPN para justificar una nueva materia en esta fase.</x:v>
      </x:c>
    </x:row>
    <x:row r="67">
      <x:c r="A67" s="26" t="str">
        <x:v>A09</x:v>
      </x:c>
      <x:c r="B67" s="26" t="str">
        <x:v>Plantas, Equipos, Automatización y Digitalización</x:v>
      </x:c>
      <x:c r="C67" s="26" t="str">
        <x:v>F0905</x:v>
      </x:c>
      <x:c r="D67" s="26" t="str">
        <x:v>Automatización, control e instrumentación</x:v>
      </x:c>
      <x:c r="E67" s="32" t="n">
        <x:v>0.3076923076923077</x:v>
      </x:c>
      <x:c r="F67" s="32" t="n">
        <x:v>0.3076923076923077</x:v>
      </x:c>
      <x:c r="G67" s="32" t="n">
        <x:v>0.14285714285714285</x:v>
      </x:c>
      <x:c r="H67" s="26" t="str">
        <x:v>Selectiva</x:v>
      </x:c>
      <x:c r="I67" s="26" t="str"/>
      <x:c r="J67" s="32" t="n">
        <x:v>0.006250000000000001</x:v>
      </x:c>
      <x:c r="K67" s="33" t="n">
        <x:v>50</x:v>
      </x:c>
      <x:c r="L67" s="26" t="str">
        <x:v>E2 Fundamentos de ingeniería</x:v>
      </x:c>
      <x:c r="M67" s="26" t="str">
        <x:v>N2</x:v>
      </x:c>
      <x:c r="N67" s="26" t="str">
        <x:v>AUSENTE</x:v>
      </x:c>
      <x:c r="O67" s="26" t="str"/>
      <x:c r="P67" s="26" t="n">
        <x:v>0</x:v>
      </x:c>
      <x:c r="Q67" s="32" t="n">
        <x:f>P67/135</x:f>
        <x:v>0</x:v>
      </x:c>
      <x:c r="R67" s="32" t="n">
        <x:f>IF(J67=0,"",Q67/J67)</x:f>
        <x:v>0</x:v>
      </x:c>
      <x:c r="S67" s="33"/>
      <x:c r="T67" s="26" t="str">
        <x:v>NR</x:v>
      </x:c>
      <x:c r="U67" s="26" t="str">
        <x:v>NR</x:v>
      </x:c>
      <x:c r="V67" s="26" t="str"/>
      <x:c r="W67" s="26" t="str">
        <x:v>PP4; CPIA5</x:v>
      </x:c>
      <x:c r="X67" s="26" t="str"/>
      <x:c r="Y67" s="26" t="str"/>
      <x:c r="Z67" s="26" t="str">
        <x:v>AUSENCIA</x:v>
      </x:c>
      <x:c r="AA67" s="26" t="str">
        <x:v>AÑADIR</x:v>
      </x:c>
      <x:c r="AB67" s="26" t="str">
        <x:v>Alta</x:v>
      </x:c>
      <x:c r="AC67" s="26" t="str">
        <x:v>No existe curso explícito de automatización/control; la competencia digital-operacional del perfil ajustado y la práctica industrial justifican una unidad específica.</x:v>
      </x:c>
    </x:row>
    <x:row r="68">
      <x:c r="A68" s="26" t="str">
        <x:v>A09</x:v>
      </x:c>
      <x:c r="B68" s="26" t="str">
        <x:v>Plantas, Equipos, Automatización y Digitalización</x:v>
      </x:c>
      <x:c r="C68" s="26" t="str">
        <x:v>F0906</x:v>
      </x:c>
      <x:c r="D68" s="26" t="str">
        <x:v>Robótica, digitalización e Industria 4.0</x:v>
      </x:c>
      <x:c r="E68" s="32" t="n">
        <x:v>0.23076923076923078</x:v>
      </x:c>
      <x:c r="F68" s="32" t="n">
        <x:v>0.07692307692307693</x:v>
      </x:c>
      <x:c r="G68" s="32" t="n">
        <x:v>0.2857142857142857</x:v>
      </x:c>
      <x:c r="H68" s="26" t="str">
        <x:v>Baja prevalencia</x:v>
      </x:c>
      <x:c r="I68" s="26" t="str">
        <x:v>Emergente en grado</x:v>
      </x:c>
      <x:c r="J68" s="32" t="n">
        <x:v>0.002777777777777778</x:v>
      </x:c>
      <x:c r="K68" s="33" t="n">
        <x:v>93.75</x:v>
      </x:c>
      <x:c r="L68" s="26" t="str">
        <x:v>E4 Integración/especialización</x:v>
      </x:c>
      <x:c r="M68" s="26" t="str">
        <x:v>N2</x:v>
      </x:c>
      <x:c r="N68" s="26" t="str">
        <x:v>AUSENTE</x:v>
      </x:c>
      <x:c r="O68" s="26" t="str"/>
      <x:c r="P68" s="26" t="n">
        <x:v>0</x:v>
      </x:c>
      <x:c r="Q68" s="32" t="n">
        <x:f>P68/135</x:f>
        <x:v>0</x:v>
      </x:c>
      <x:c r="R68" s="32" t="n">
        <x:f>IF(J68=0,"",Q68/J68)</x:f>
        <x:v>0</x:v>
      </x:c>
      <x:c r="S68" s="33"/>
      <x:c r="T68" s="26" t="str">
        <x:v>NR</x:v>
      </x:c>
      <x:c r="U68" s="26" t="str">
        <x:v>NR</x:v>
      </x:c>
      <x:c r="V68" s="26" t="str"/>
      <x:c r="W68" s="26" t="str">
        <x:v>PP2; PP4; CPIA3; CPIA4; CPIA5</x:v>
      </x:c>
      <x:c r="X68" s="26" t="str">
        <x:v>S01; S12</x:v>
      </x:c>
      <x:c r="Y68" s="26" t="str">
        <x:v>Crítica</x:v>
      </x:c>
      <x:c r="Z68" s="26" t="str">
        <x:v>AUSENCIA</x:v>
      </x:c>
      <x:c r="AA68" s="26" t="str">
        <x:v>INTEGRAR</x:v>
      </x:c>
      <x:c r="AB68" s="26" t="str">
        <x:v>Crítica</x:v>
      </x:c>
      <x:c r="AC68" s="26" t="str">
        <x:v>Integrar digitalización/Industria 4.0 en Programación, Simulación, Automatización y Diseño de Plantas.</x:v>
      </x:c>
    </x:row>
    <x:row r="69">
      <x:c r="A69" s="26" t="str">
        <x:v>A09</x:v>
      </x:c>
      <x:c r="B69" s="26" t="str">
        <x:v>Plantas, Equipos, Automatización y Digitalización</x:v>
      </x:c>
      <x:c r="C69" s="26" t="str">
        <x:v>F0907</x:v>
      </x:c>
      <x:c r="D69" s="26" t="str">
        <x:v>Envases, materiales y packaging</x:v>
      </x:c>
      <x:c r="E69" s="32" t="n">
        <x:v>0.3076923076923077</x:v>
      </x:c>
      <x:c r="F69" s="32" t="n">
        <x:v>0.23076923076923078</x:v>
      </x:c>
      <x:c r="G69" s="32" t="n">
        <x:v>0.14285714285714285</x:v>
      </x:c>
      <x:c r="H69" s="26" t="str">
        <x:v>Selectiva</x:v>
      </x:c>
      <x:c r="I69" s="26" t="str"/>
      <x:c r="J69" s="32" t="n">
        <x:v>0.005092592592592592</x:v>
      </x:c>
      <x:c r="K69" s="33" t="n">
        <x:v>71.875</x:v>
      </x:c>
      <x:c r="L69" s="26" t="str">
        <x:v>E3 Formación profesional</x:v>
      </x:c>
      <x:c r="M69" s="26" t="str">
        <x:v>N2</x:v>
      </x:c>
      <x:c r="N69" s="26" t="str">
        <x:v>REQUISITO_GRADUACION</x:v>
      </x:c>
      <x:c r="O69" s="26" t="str">
        <x:v>AGRD700 Agroplasticultura</x:v>
      </x:c>
      <x:c r="P69" s="26" t="n">
        <x:v>0</x:v>
      </x:c>
      <x:c r="Q69" s="32" t="n">
        <x:f>P69/135</x:f>
        <x:v>0</x:v>
      </x:c>
      <x:c r="R69" s="32" t="n">
        <x:f>IF(J69=0,"",Q69/J69)</x:f>
        <x:v>0</x:v>
      </x:c>
      <x:c r="S69" s="33"/>
      <x:c r="T69" s="26" t="str">
        <x:v>NR</x:v>
      </x:c>
      <x:c r="U69" s="26" t="str">
        <x:v>N2</x:v>
      </x:c>
      <x:c r="V69" s="26" t="str"/>
      <x:c r="W69" s="26" t="str"/>
      <x:c r="X69" s="26" t="str"/>
      <x:c r="Y69" s="26" t="str"/>
      <x:c r="Z69" s="26" t="str">
        <x:v>SOLO_REQUISITO_GRADUACION</x:v>
      </x:c>
      <x:c r="AA69" s="26" t="str">
        <x:v>REFORZAR</x:v>
      </x:c>
      <x:c r="AB69" s="26" t="str">
        <x:v>Media</x:v>
      </x:c>
      <x:c r="AC69" s="26" t="str">
        <x:v>La cobertura es ambigua mediante Polímeros/Agroplasticultura; rediseñar hacia envases, biomateriales y packaging sostenible.</x:v>
      </x:c>
    </x:row>
    <x:row r="70">
      <x:c r="A70" s="26" t="str">
        <x:v>A09</x:v>
      </x:c>
      <x:c r="B70" s="26" t="str">
        <x:v>Plantas, Equipos, Automatización y Digitalización</x:v>
      </x:c>
      <x:c r="C70" s="26" t="str">
        <x:v>F0908</x:v>
      </x:c>
      <x:c r="D70" s="26" t="str">
        <x:v>Sistemas energéticos y utilidades térmicas</x:v>
      </x:c>
      <x:c r="E70" s="32" t="n">
        <x:v>0.38461538461538464</x:v>
      </x:c>
      <x:c r="F70" s="32" t="n">
        <x:v>0.3076923076923077</x:v>
      </x:c>
      <x:c r="G70" s="32" t="n">
        <x:v>0</x:v>
      </x:c>
      <x:c r="H70" s="26" t="str">
        <x:v>Selectiva</x:v>
      </x:c>
      <x:c r="I70" s="26" t="str"/>
      <x:c r="J70" s="32" t="n">
        <x:v>0.010416666666666666</x:v>
      </x:c>
      <x:c r="K70" s="33" t="n">
        <x:v>68.75</x:v>
      </x:c>
      <x:c r="L70" s="26" t="str">
        <x:v>E3 Formación profesional</x:v>
      </x:c>
      <x:c r="M70" s="26" t="str">
        <x:v>N2</x:v>
      </x:c>
      <x:c r="N70" s="26" t="str">
        <x:v>AUSENTE</x:v>
      </x:c>
      <x:c r="O70" s="26" t="str"/>
      <x:c r="P70" s="26" t="n">
        <x:v>0</x:v>
      </x:c>
      <x:c r="Q70" s="32" t="n">
        <x:f>P70/135</x:f>
        <x:v>0</x:v>
      </x:c>
      <x:c r="R70" s="32" t="n">
        <x:f>IF(J70=0,"",Q70/J70)</x:f>
        <x:v>0</x:v>
      </x:c>
      <x:c r="S70" s="33"/>
      <x:c r="T70" s="26" t="str">
        <x:v>NR</x:v>
      </x:c>
      <x:c r="U70" s="26" t="str">
        <x:v>NR</x:v>
      </x:c>
      <x:c r="V70" s="26" t="str"/>
      <x:c r="W70" s="26" t="str"/>
      <x:c r="X70" s="26" t="str"/>
      <x:c r="Y70" s="26" t="str"/>
      <x:c r="Z70" s="26" t="str">
        <x:v>AUSENCIA</x:v>
      </x:c>
      <x:c r="AA70" s="26" t="str">
        <x:v>INTEGRAR</x:v>
      </x:c>
      <x:c r="AB70" s="26" t="str">
        <x:v>Media</x:v>
      </x:c>
      <x:c r="AC70" s="26" t="str">
        <x:v>Demanda EPN/perfil relevante; incorporar como resultado transversal o módulo antes de crear una asignatura independiente.</x:v>
      </x:c>
    </x:row>
    <x:row r="71">
      <x:c r="A71" s="26" t="str">
        <x:v>A10</x:v>
      </x:c>
      <x:c r="B71" s="26" t="str">
        <x:v>Producción Agropecuaria, Materias Primas y Territorio</x:v>
      </x:c>
      <x:c r="C71" s="26" t="str">
        <x:v>F1001</x:v>
      </x:c>
      <x:c r="D71" s="26" t="str">
        <x:v>Producción vegetal y fitotecnia</x:v>
      </x:c>
      <x:c r="E71" s="32" t="n">
        <x:v>0.6923076923076923</x:v>
      </x:c>
      <x:c r="F71" s="32" t="n">
        <x:v>0.6923076923076923</x:v>
      </x:c>
      <x:c r="G71" s="32" t="n">
        <x:v>0.42857142857142855</x:v>
      </x:c>
      <x:c r="H71" s="26" t="str">
        <x:v>Consolidada</x:v>
      </x:c>
      <x:c r="I71" s="26" t="str"/>
      <x:c r="J71" s="32" t="n">
        <x:v>0.030671296296296294</x:v>
      </x:c>
      <x:c r="K71" s="33" t="n">
        <x:v>41.66666666666667</x:v>
      </x:c>
      <x:c r="L71" s="26" t="str">
        <x:v>E2 Fundamentos de ingeniería</x:v>
      </x:c>
      <x:c r="M71" s="26" t="str">
        <x:v>N2</x:v>
      </x:c>
      <x:c r="N71" s="26" t="str">
        <x:v>CORE_PRINCIPAL + REQUISITO_GRADUACION</x:v>
      </x:c>
      <x:c r="O71" s="26" t="str">
        <x:v>AGRD553 Introducción a la Producción Vegetal; AGRD633 Producción Vegetal; AGRD600 Agricultura Ecológica; AGRD700 Agroplasticultura</x:v>
      </x:c>
      <x:c r="P71" s="26" t="n">
        <x:v>6</x:v>
      </x:c>
      <x:c r="Q71" s="32" t="n">
        <x:f>P71/135</x:f>
        <x:v>0.044444444444444446</x:v>
      </x:c>
      <x:c r="R71" s="32" t="n">
        <x:f>IF(J71=0,"",Q71/J71)</x:f>
        <x:v>1.449056603773585</x:v>
      </x:c>
      <x:c r="S71" s="33" t="n">
        <x:v>50</x:v>
      </x:c>
      <x:c r="T71" s="26" t="str">
        <x:v>E2 Fundamentos de ingeniería</x:v>
      </x:c>
      <x:c r="U71" s="26" t="str">
        <x:v>N2</x:v>
      </x:c>
      <x:c r="V71" s="26" t="str">
        <x:v>AGRD633L</x:v>
      </x:c>
      <x:c r="W71" s="26" t="str">
        <x:v>PP1</x:v>
      </x:c>
      <x:c r="X71" s="26" t="str"/>
      <x:c r="Y71" s="26" t="str"/>
      <x:c r="Z71" s="26" t="str">
        <x:v>CUBIERTA</x:v>
      </x:c>
      <x:c r="AA71" s="26" t="str">
        <x:v>MANTENER</x:v>
      </x:c>
      <x:c r="AB71" s="26" t="str">
        <x:v>Media</x:v>
      </x:c>
      <x:c r="AC71" s="26" t="str">
        <x:v>Cobertura explícita en la malla EPN y sin brecha prioritaria suficiente para justificar aumento de carga.</x:v>
      </x:c>
    </x:row>
    <x:row r="72">
      <x:c r="A72" s="26" t="str">
        <x:v>A10</x:v>
      </x:c>
      <x:c r="B72" s="26" t="str">
        <x:v>Producción Agropecuaria, Materias Primas y Territorio</x:v>
      </x:c>
      <x:c r="C72" s="26" t="str">
        <x:v>F1002</x:v>
      </x:c>
      <x:c r="D72" s="26" t="str">
        <x:v>Producción animal y zootecnia</x:v>
      </x:c>
      <x:c r="E72" s="32" t="n">
        <x:v>0.6153846153846154</x:v>
      </x:c>
      <x:c r="F72" s="32" t="n">
        <x:v>0.6153846153846154</x:v>
      </x:c>
      <x:c r="G72" s="32" t="n">
        <x:v>0.2857142857142857</x:v>
      </x:c>
      <x:c r="H72" s="26" t="str">
        <x:v>Consolidada</x:v>
      </x:c>
      <x:c r="I72" s="26" t="str"/>
      <x:c r="J72" s="32" t="n">
        <x:v>0.016435185185185188</x:v>
      </x:c>
      <x:c r="K72" s="33" t="n">
        <x:v>31.25</x:v>
      </x:c>
      <x:c r="L72" s="26" t="str">
        <x:v>E2 Fundamentos de ingeniería</x:v>
      </x:c>
      <x:c r="M72" s="26" t="str">
        <x:v>N2</x:v>
      </x:c>
      <x:c r="N72" s="26" t="str">
        <x:v>CORE_PRINCIPAL</x:v>
      </x:c>
      <x:c r="O72" s="26" t="str">
        <x:v>AGRD563 Introducción a la Producción Animal; AGRD643 Producción Animal</x:v>
      </x:c>
      <x:c r="P72" s="26" t="n">
        <x:v>6</x:v>
      </x:c>
      <x:c r="Q72" s="32" t="n">
        <x:f>P72/135</x:f>
        <x:v>0.044444444444444446</x:v>
      </x:c>
      <x:c r="R72" s="32" t="n">
        <x:f>IF(J72=0,"",Q72/J72)</x:f>
        <x:v>2.7042253521126756</x:v>
      </x:c>
      <x:c r="S72" s="33" t="n">
        <x:v>50</x:v>
      </x:c>
      <x:c r="T72" s="26" t="str">
        <x:v>E2 Fundamentos de ingeniería</x:v>
      </x:c>
      <x:c r="U72" s="26" t="str">
        <x:v>N2</x:v>
      </x:c>
      <x:c r="V72" s="26" t="str">
        <x:v>AGRD563L; AGRD643L</x:v>
      </x:c>
      <x:c r="W72" s="26" t="str">
        <x:v>PP1</x:v>
      </x:c>
      <x:c r="X72" s="26" t="str"/>
      <x:c r="Y72" s="26" t="str"/>
      <x:c r="Z72" s="26" t="str">
        <x:v>CUBIERTA</x:v>
      </x:c>
      <x:c r="AA72" s="26" t="str">
        <x:v>MANTENER</x:v>
      </x:c>
      <x:c r="AB72" s="26" t="str">
        <x:v>Media</x:v>
      </x:c>
      <x:c r="AC72" s="26" t="str">
        <x:v>Cobertura explícita en la malla EPN y sin brecha prioritaria suficiente para justificar aumento de carga.</x:v>
      </x:c>
    </x:row>
    <x:row r="73">
      <x:c r="A73" s="26" t="str">
        <x:v>A10</x:v>
      </x:c>
      <x:c r="B73" s="26" t="str">
        <x:v>Producción Agropecuaria, Materias Primas y Territorio</x:v>
      </x:c>
      <x:c r="C73" s="26" t="str">
        <x:v>F1003</x:v>
      </x:c>
      <x:c r="D73" s="26" t="str">
        <x:v>Materias primas agroalimentarias y aprovisionamiento</x:v>
      </x:c>
      <x:c r="E73" s="32" t="n">
        <x:v>0.15384615384615385</x:v>
      </x:c>
      <x:c r="F73" s="32" t="n">
        <x:v>0.15384615384615385</x:v>
      </x:c>
      <x:c r="G73" s="32" t="n">
        <x:v>0.14285714285714285</x:v>
      </x:c>
      <x:c r="H73" s="26" t="str">
        <x:v>Baja prevalencia</x:v>
      </x:c>
      <x:c r="I73" s="26" t="str">
        <x:v>Nicho / especialización</x:v>
      </x:c>
      <x:c r="J73" s="32" t="n">
        <x:v>0.005555555555555556</x:v>
      </x:c>
      <x:c r="K73" s="33" t="n">
        <x:v>50</x:v>
      </x:c>
      <x:c r="L73" s="26" t="str">
        <x:v>E2 Fundamentos de ingeniería</x:v>
      </x:c>
      <x:c r="M73" s="26" t="str">
        <x:v>N2</x:v>
      </x:c>
      <x:c r="N73" s="26" t="str">
        <x:v>AUSENTE</x:v>
      </x:c>
      <x:c r="O73" s="26" t="str"/>
      <x:c r="P73" s="26" t="n">
        <x:v>0</x:v>
      </x:c>
      <x:c r="Q73" s="32" t="n">
        <x:f>P73/135</x:f>
        <x:v>0</x:v>
      </x:c>
      <x:c r="R73" s="32" t="n">
        <x:f>IF(J73=0,"",Q73/J73)</x:f>
        <x:v>0</x:v>
      </x:c>
      <x:c r="S73" s="33"/>
      <x:c r="T73" s="26" t="str">
        <x:v>NR</x:v>
      </x:c>
      <x:c r="U73" s="26" t="str">
        <x:v>NR</x:v>
      </x:c>
      <x:c r="V73" s="26" t="str"/>
      <x:c r="W73" s="26" t="str"/>
      <x:c r="X73" s="26" t="str"/>
      <x:c r="Y73" s="26" t="str"/>
      <x:c r="Z73" s="26" t="str">
        <x:v>AUSENCIA</x:v>
      </x:c>
      <x:c r="AA73" s="26" t="str">
        <x:v>NO PRIORIZAR</x:v>
      </x:c>
      <x:c r="AB73" s="26" t="str">
        <x:v>Baja</x:v>
      </x:c>
      <x:c r="AC73" s="26" t="str">
        <x:v>Ausencia sin suficiente evidencia internacional + EPN para justificar una nueva materia en esta fase.</x:v>
      </x:c>
    </x:row>
    <x:row r="74">
      <x:c r="A74" s="26" t="str">
        <x:v>A10</x:v>
      </x:c>
      <x:c r="B74" s="26" t="str">
        <x:v>Producción Agropecuaria, Materias Primas y Territorio</x:v>
      </x:c>
      <x:c r="C74" s="26" t="str">
        <x:v>F1004</x:v>
      </x:c>
      <x:c r="D74" s="26" t="str">
        <x:v>Poscosecha y conservación de materia prima</x:v>
      </x:c>
      <x:c r="E74" s="32" t="n">
        <x:v>0</x:v>
      </x:c>
      <x:c r="F74" s="32" t="n">
        <x:v>0</x:v>
      </x:c>
      <x:c r="G74" s="32" t="n">
        <x:v>0</x:v>
      </x:c>
      <x:c r="H74" s="26" t="str">
        <x:v>Baja prevalencia</x:v>
      </x:c>
      <x:c r="I74" s="26" t="str"/>
      <x:c r="J74" s="32" t="n">
        <x:v>0</x:v>
      </x:c>
      <x:c r="K74" s="33"/>
      <x:c r="L74" s="26" t="str">
        <x:v>NR</x:v>
      </x:c>
      <x:c r="M74" s="26" t="str">
        <x:v>NR</x:v>
      </x:c>
      <x:c r="N74" s="26" t="str">
        <x:v>CORE_PRINCIPAL</x:v>
      </x:c>
      <x:c r="O74" s="26" t="str">
        <x:v>AGRD752 Poscosecha</x:v>
      </x:c>
      <x:c r="P74" s="26" t="n">
        <x:v>2</x:v>
      </x:c>
      <x:c r="Q74" s="32" t="n">
        <x:f>P74/135</x:f>
        <x:v>0.014814814814814815</x:v>
      </x:c>
      <x:c r="R74" s="32" t="str">
        <x:f>IF(J74=0,"",Q74/J74)</x:f>
      </x:c>
      <x:c r="S74" s="33" t="n">
        <x:v>72.22222222222221</x:v>
      </x:c>
      <x:c r="T74" s="26" t="str">
        <x:v>E3 Formación profesional</x:v>
      </x:c>
      <x:c r="U74" s="26" t="str">
        <x:v>N2</x:v>
      </x:c>
      <x:c r="V74" s="26" t="str">
        <x:v>AGRD752L</x:v>
      </x:c>
      <x:c r="W74" s="26" t="str">
        <x:v>PP1</x:v>
      </x:c>
      <x:c r="X74" s="26" t="str"/>
      <x:c r="Y74" s="26" t="str"/>
      <x:c r="Z74" s="26" t="str">
        <x:v>CUBIERTA</x:v>
      </x:c>
      <x:c r="AA74" s="26" t="str">
        <x:v>MANTENER</x:v>
      </x:c>
      <x:c r="AB74" s="26" t="str">
        <x:v>Media</x:v>
      </x:c>
      <x:c r="AC74" s="26" t="str">
        <x:v>Cobertura explícita en la malla EPN y sin brecha prioritaria suficiente para justificar aumento de carga.</x:v>
      </x:c>
    </x:row>
    <x:row r="75">
      <x:c r="A75" s="26" t="str">
        <x:v>A10</x:v>
      </x:c>
      <x:c r="B75" s="26" t="str">
        <x:v>Producción Agropecuaria, Materias Primas y Territorio</x:v>
      </x:c>
      <x:c r="C75" s="26" t="str">
        <x:v>F1005</x:v>
      </x:c>
      <x:c r="D75" s="26" t="str">
        <x:v>Edafología, geología y climatología</x:v>
      </x:c>
      <x:c r="E75" s="32" t="n">
        <x:v>0.38461538461538464</x:v>
      </x:c>
      <x:c r="F75" s="32" t="n">
        <x:v>0.38461538461538464</x:v>
      </x:c>
      <x:c r="G75" s="32" t="n">
        <x:v>0</x:v>
      </x:c>
      <x:c r="H75" s="26" t="str">
        <x:v>Selectiva</x:v>
      </x:c>
      <x:c r="I75" s="26" t="str"/>
      <x:c r="J75" s="32" t="n">
        <x:v>0.009895833333333335</x:v>
      </x:c>
      <x:c r="K75" s="33" t="n">
        <x:v>18.75</x:v>
      </x:c>
      <x:c r="L75" s="26" t="str">
        <x:v>E1 Fundamentos</x:v>
      </x:c>
      <x:c r="M75" s="26" t="str">
        <x:v>N2</x:v>
      </x:c>
      <x:c r="N75" s="26" t="str">
        <x:v>CORE_PRINCIPAL</x:v>
      </x:c>
      <x:c r="O75" s="26" t="str">
        <x:v>AGRD453 Manejo de Suelos Agrícolas</x:v>
      </x:c>
      <x:c r="P75" s="26" t="n">
        <x:v>3</x:v>
      </x:c>
      <x:c r="Q75" s="32" t="n">
        <x:f>P75/135</x:f>
        <x:v>0.022222222222222223</x:v>
      </x:c>
      <x:c r="R75" s="32" t="n">
        <x:f>IF(J75=0,"",Q75/J75)</x:f>
        <x:v>2.245614035087719</x:v>
      </x:c>
      <x:c r="S75" s="33" t="n">
        <x:v>38.88888888888889</x:v>
      </x:c>
      <x:c r="T75" s="26" t="str">
        <x:v>E2 Fundamentos de ingeniería</x:v>
      </x:c>
      <x:c r="U75" s="26" t="str">
        <x:v>N2</x:v>
      </x:c>
      <x:c r="V75" s="26" t="str">
        <x:v>AGRD453L</x:v>
      </x:c>
      <x:c r="W75" s="26" t="str"/>
      <x:c r="X75" s="26" t="str"/>
      <x:c r="Y75" s="26" t="str"/>
      <x:c r="Z75" s="26" t="str">
        <x:v>CUBIERTA</x:v>
      </x:c>
      <x:c r="AA75" s="26" t="str">
        <x:v>MANTENER</x:v>
      </x:c>
      <x:c r="AB75" s="26" t="str">
        <x:v>Media</x:v>
      </x:c>
      <x:c r="AC75" s="26" t="str">
        <x:v>Cobertura explícita en la malla EPN y sin brecha prioritaria suficiente para justificar aumento de carga.</x:v>
      </x:c>
    </x:row>
    <x:row r="76">
      <x:c r="A76" s="26" t="str">
        <x:v>A10</x:v>
      </x:c>
      <x:c r="B76" s="26" t="str">
        <x:v>Producción Agropecuaria, Materias Primas y Territorio</x:v>
      </x:c>
      <x:c r="C76" s="26" t="str">
        <x:v>F1006</x:v>
      </x:c>
      <x:c r="D76" s="26" t="str">
        <x:v>Geomática, topografía y cartografía</x:v>
      </x:c>
      <x:c r="E76" s="32" t="n">
        <x:v>0.38461538461538464</x:v>
      </x:c>
      <x:c r="F76" s="32" t="n">
        <x:v>0.38461538461538464</x:v>
      </x:c>
      <x:c r="G76" s="32" t="n">
        <x:v>0</x:v>
      </x:c>
      <x:c r="H76" s="26" t="str">
        <x:v>Selectiva</x:v>
      </x:c>
      <x:c r="I76" s="26" t="str"/>
      <x:c r="J76" s="32" t="n">
        <x:v>0.010069444444444445</x:v>
      </x:c>
      <x:c r="K76" s="33" t="n">
        <x:v>43.75</x:v>
      </x:c>
      <x:c r="L76" s="26" t="str">
        <x:v>E2 Fundamentos de ingeniería</x:v>
      </x:c>
      <x:c r="M76" s="26" t="str">
        <x:v>N2</x:v>
      </x:c>
      <x:c r="N76" s="26" t="str">
        <x:v>AUSENTE</x:v>
      </x:c>
      <x:c r="O76" s="26" t="str"/>
      <x:c r="P76" s="26" t="n">
        <x:v>0</x:v>
      </x:c>
      <x:c r="Q76" s="32" t="n">
        <x:f>P76/135</x:f>
        <x:v>0</x:v>
      </x:c>
      <x:c r="R76" s="32" t="n">
        <x:f>IF(J76=0,"",Q76/J76)</x:f>
        <x:v>0</x:v>
      </x:c>
      <x:c r="S76" s="33"/>
      <x:c r="T76" s="26" t="str">
        <x:v>NR</x:v>
      </x:c>
      <x:c r="U76" s="26" t="str">
        <x:v>NR</x:v>
      </x:c>
      <x:c r="V76" s="26" t="str"/>
      <x:c r="W76" s="26" t="str"/>
      <x:c r="X76" s="26" t="str"/>
      <x:c r="Y76" s="26" t="str"/>
      <x:c r="Z76" s="26" t="str">
        <x:v>AUSENCIA</x:v>
      </x:c>
      <x:c r="AA76" s="26" t="str">
        <x:v>NO PRIORIZAR</x:v>
      </x:c>
      <x:c r="AB76" s="26" t="str">
        <x:v>Baja</x:v>
      </x:c>
      <x:c r="AC76" s="26" t="str">
        <x:v>Ausencia sin suficiente evidencia internacional + EPN para justificar una nueva materia en esta fase.</x:v>
      </x:c>
    </x:row>
    <x:row r="77">
      <x:c r="A77" s="26" t="str">
        <x:v>A10</x:v>
      </x:c>
      <x:c r="B77" s="26" t="str">
        <x:v>Producción Agropecuaria, Materias Primas y Territorio</x:v>
      </x:c>
      <x:c r="C77" s="26" t="str">
        <x:v>F1007</x:v>
      </x:c>
      <x:c r="D77" s="26" t="str">
        <x:v>Riego, drenaje y mecanización agrícola</x:v>
      </x:c>
      <x:c r="E77" s="32" t="n">
        <x:v>0.15384615384615385</x:v>
      </x:c>
      <x:c r="F77" s="32" t="n">
        <x:v>0.15384615384615385</x:v>
      </x:c>
      <x:c r="G77" s="32" t="n">
        <x:v>0</x:v>
      </x:c>
      <x:c r="H77" s="26" t="str">
        <x:v>Baja prevalencia</x:v>
      </x:c>
      <x:c r="I77" s="26" t="str">
        <x:v>Nicho / especialización</x:v>
      </x:c>
      <x:c r="J77" s="32" t="n">
        <x:v>0.0015624999999999999</x:v>
      </x:c>
      <x:c r="K77" s="33" t="n">
        <x:v>31.25</x:v>
      </x:c>
      <x:c r="L77" s="26" t="str">
        <x:v>E2 Fundamentos de ingeniería</x:v>
      </x:c>
      <x:c r="M77" s="26" t="str">
        <x:v>N2</x:v>
      </x:c>
      <x:c r="N77" s="26" t="str">
        <x:v>AUSENTE</x:v>
      </x:c>
      <x:c r="O77" s="26" t="str"/>
      <x:c r="P77" s="26" t="n">
        <x:v>0</x:v>
      </x:c>
      <x:c r="Q77" s="32" t="n">
        <x:f>P77/135</x:f>
        <x:v>0</x:v>
      </x:c>
      <x:c r="R77" s="32" t="n">
        <x:f>IF(J77=0,"",Q77/J77)</x:f>
        <x:v>0</x:v>
      </x:c>
      <x:c r="S77" s="33"/>
      <x:c r="T77" s="26" t="str">
        <x:v>NR</x:v>
      </x:c>
      <x:c r="U77" s="26" t="str">
        <x:v>NR</x:v>
      </x:c>
      <x:c r="V77" s="26" t="str"/>
      <x:c r="W77" s="26" t="str"/>
      <x:c r="X77" s="26" t="str"/>
      <x:c r="Y77" s="26" t="str"/>
      <x:c r="Z77" s="26" t="str">
        <x:v>AUSENCIA</x:v>
      </x:c>
      <x:c r="AA77" s="26" t="str">
        <x:v>NO PRIORIZAR</x:v>
      </x:c>
      <x:c r="AB77" s="26" t="str">
        <x:v>Baja</x:v>
      </x:c>
      <x:c r="AC77" s="26" t="str">
        <x:v>Ausencia sin suficiente evidencia internacional + EPN para justificar una nueva materia en esta fase.</x:v>
      </x:c>
    </x:row>
    <x:row r="78">
      <x:c r="A78" s="26" t="str">
        <x:v>A11</x:v>
      </x:c>
      <x:c r="B78" s="26" t="str">
        <x:v>Ambiente, Sostenibilidad, Residuos y Circularidad</x:v>
      </x:c>
      <x:c r="C78" s="26" t="str">
        <x:v>F1101</x:v>
      </x:c>
      <x:c r="D78" s="26" t="str">
        <x:v>Ecología e impacto ambiental</x:v>
      </x:c>
      <x:c r="E78" s="32" t="n">
        <x:v>0.38461538461538464</x:v>
      </x:c>
      <x:c r="F78" s="32" t="n">
        <x:v>0.38461538461538464</x:v>
      </x:c>
      <x:c r="G78" s="32" t="n">
        <x:v>0.14285714285714285</x:v>
      </x:c>
      <x:c r="H78" s="26" t="str">
        <x:v>Selectiva</x:v>
      </x:c>
      <x:c r="I78" s="26" t="str"/>
      <x:c r="J78" s="32" t="n">
        <x:v>0.0076388888888888895</x:v>
      </x:c>
      <x:c r="K78" s="33" t="n">
        <x:v>68.75</x:v>
      </x:c>
      <x:c r="L78" s="26" t="str">
        <x:v>E3 Formación profesional</x:v>
      </x:c>
      <x:c r="M78" s="26" t="str">
        <x:v>N2</x:v>
      </x:c>
      <x:c r="N78" s="26" t="str">
        <x:v>CORE_PRINCIPAL + REQUISITO_GRADUACION</x:v>
      </x:c>
      <x:c r="O78" s="26" t="str">
        <x:v>IAQD722 Evaluación de Impacto y Auditoría Ambiental; AMBD900 Ecología y Ambiente</x:v>
      </x:c>
      <x:c r="P78" s="26" t="n">
        <x:v>2</x:v>
      </x:c>
      <x:c r="Q78" s="32" t="n">
        <x:f>P78/135</x:f>
        <x:v>0.014814814814814815</x:v>
      </x:c>
      <x:c r="R78" s="32" t="n">
        <x:f>IF(J78=0,"",Q78/J78)</x:f>
        <x:v>1.9393939393939392</x:v>
      </x:c>
      <x:c r="S78" s="33" t="n">
        <x:v>72.22222222222221</x:v>
      </x:c>
      <x:c r="T78" s="26" t="str">
        <x:v>E3 Formación profesional</x:v>
      </x:c>
      <x:c r="U78" s="26" t="str">
        <x:v>N2</x:v>
      </x:c>
      <x:c r="V78" s="26" t="str"/>
      <x:c r="W78" s="26" t="str"/>
      <x:c r="X78" s="26" t="str"/>
      <x:c r="Y78" s="26" t="str"/>
      <x:c r="Z78" s="26" t="str">
        <x:v>CUBIERTA</x:v>
      </x:c>
      <x:c r="AA78" s="26" t="str">
        <x:v>MANTENER</x:v>
      </x:c>
      <x:c r="AB78" s="26" t="str">
        <x:v>Media</x:v>
      </x:c>
      <x:c r="AC78" s="26" t="str">
        <x:v>Cobertura explícita en la malla EPN y sin brecha prioritaria suficiente para justificar aumento de carga.</x:v>
      </x:c>
    </x:row>
    <x:row r="79">
      <x:c r="A79" s="26" t="str">
        <x:v>A11</x:v>
      </x:c>
      <x:c r="B79" s="26" t="str">
        <x:v>Ambiente, Sostenibilidad, Residuos y Circularidad</x:v>
      </x:c>
      <x:c r="C79" s="26" t="str">
        <x:v>F1102</x:v>
      </x:c>
      <x:c r="D79" s="26" t="str">
        <x:v>Análisis de ciclo de vida y ecodiseño</x:v>
      </x:c>
      <x:c r="E79" s="32" t="n">
        <x:v>0.15384615384615385</x:v>
      </x:c>
      <x:c r="F79" s="32" t="n">
        <x:v>0</x:v>
      </x:c>
      <x:c r="G79" s="32" t="n">
        <x:v>0.14285714285714285</x:v>
      </x:c>
      <x:c r="H79" s="26" t="str">
        <x:v>Baja prevalencia</x:v>
      </x:c>
      <x:c r="I79" s="26" t="str">
        <x:v>Emergente en grado</x:v>
      </x:c>
      <x:c r="J79" s="32" t="n">
        <x:v>0</x:v>
      </x:c>
      <x:c r="K79" s="33" t="n">
        <x:v>87.5</x:v>
      </x:c>
      <x:c r="L79" s="26" t="str">
        <x:v>E4 Integración/especialización</x:v>
      </x:c>
      <x:c r="M79" s="26" t="str">
        <x:v>N2</x:v>
      </x:c>
      <x:c r="N79" s="26" t="str">
        <x:v>AUSENTE</x:v>
      </x:c>
      <x:c r="O79" s="26" t="str"/>
      <x:c r="P79" s="26" t="n">
        <x:v>0</x:v>
      </x:c>
      <x:c r="Q79" s="32" t="n">
        <x:f>P79/135</x:f>
        <x:v>0</x:v>
      </x:c>
      <x:c r="R79" s="32" t="str">
        <x:f>IF(J79=0,"",Q79/J79)</x:f>
      </x:c>
      <x:c r="S79" s="33"/>
      <x:c r="T79" s="26" t="str">
        <x:v>NR</x:v>
      </x:c>
      <x:c r="U79" s="26" t="str">
        <x:v>NR</x:v>
      </x:c>
      <x:c r="V79" s="26" t="str"/>
      <x:c r="W79" s="26" t="str">
        <x:v>PP2; CPIA3</x:v>
      </x:c>
      <x:c r="X79" s="26" t="str">
        <x:v>S03; S12</x:v>
      </x:c>
      <x:c r="Y79" s="26" t="str">
        <x:v>Crítica</x:v>
      </x:c>
      <x:c r="Z79" s="26" t="str">
        <x:v>AUSENCIA</x:v>
      </x:c>
      <x:c r="AA79" s="26" t="str">
        <x:v>INTEGRAR</x:v>
      </x:c>
      <x:c r="AB79" s="26" t="str">
        <x:v>Crítica</x:v>
      </x:c>
      <x:c r="AC79" s="26" t="str">
        <x:v>Integrar ACV/ecodiseño en Impacto Ambiental, Diseño de Plantas, innovación y proyectos.</x:v>
      </x:c>
    </x:row>
    <x:row r="80">
      <x:c r="A80" s="26" t="str">
        <x:v>A11</x:v>
      </x:c>
      <x:c r="B80" s="26" t="str">
        <x:v>Ambiente, Sostenibilidad, Residuos y Circularidad</x:v>
      </x:c>
      <x:c r="C80" s="26" t="str">
        <x:v>F1103</x:v>
      </x:c>
      <x:c r="D80" s="26" t="str">
        <x:v>Residuos, subproductos y valorización</x:v>
      </x:c>
      <x:c r="E80" s="32" t="n">
        <x:v>0.3076923076923077</x:v>
      </x:c>
      <x:c r="F80" s="32" t="n">
        <x:v>0.3076923076923077</x:v>
      </x:c>
      <x:c r="G80" s="32" t="n">
        <x:v>0.2857142857142857</x:v>
      </x:c>
      <x:c r="H80" s="26" t="str">
        <x:v>Selectiva</x:v>
      </x:c>
      <x:c r="I80" s="26" t="str">
        <x:v>Emergente en grado</x:v>
      </x:c>
      <x:c r="J80" s="32" t="n">
        <x:v>0.006944444444444445</x:v>
      </x:c>
      <x:c r="K80" s="33" t="n">
        <x:v>81.25</x:v>
      </x:c>
      <x:c r="L80" s="26" t="str">
        <x:v>E4 Integración/especialización</x:v>
      </x:c>
      <x:c r="M80" s="26" t="str">
        <x:v>N2</x:v>
      </x:c>
      <x:c r="N80" s="26" t="str">
        <x:v>REQUISITO_GRADUACION</x:v>
      </x:c>
      <x:c r="O80" s="26" t="str">
        <x:v>AGRD810 Subproductos Agroindustriales</x:v>
      </x:c>
      <x:c r="P80" s="26" t="n">
        <x:v>0</x:v>
      </x:c>
      <x:c r="Q80" s="32" t="n">
        <x:f>P80/135</x:f>
        <x:v>0</x:v>
      </x:c>
      <x:c r="R80" s="32" t="n">
        <x:f>IF(J80=0,"",Q80/J80)</x:f>
        <x:v>0</x:v>
      </x:c>
      <x:c r="S80" s="33"/>
      <x:c r="T80" s="26" t="str">
        <x:v>NR</x:v>
      </x:c>
      <x:c r="U80" s="26" t="str">
        <x:v>N2</x:v>
      </x:c>
      <x:c r="V80" s="26" t="str"/>
      <x:c r="W80" s="26" t="str">
        <x:v>PP3; CPIA3; CPIA4</x:v>
      </x:c>
      <x:c r="X80" s="26" t="str">
        <x:v>S03</x:v>
      </x:c>
      <x:c r="Y80" s="26" t="str">
        <x:v>Alta</x:v>
      </x:c>
      <x:c r="Z80" s="26" t="str">
        <x:v>SOLO_REQUISITO_GRADUACION</x:v>
      </x:c>
      <x:c r="AA80" s="26" t="str">
        <x:v>INTEGRAR</x:v>
      </x:c>
      <x:c r="AB80" s="26" t="str">
        <x:v>Muy alta</x:v>
      </x:c>
      <x:c r="AC80" s="26" t="str">
        <x:v>Subproductos Agroindustriales existe como requisito de graduación; elevarlo a experiencia explícita y articulada con circularidad/valorización.</x:v>
      </x:c>
    </x:row>
    <x:row r="81">
      <x:c r="A81" s="26" t="str">
        <x:v>A11</x:v>
      </x:c>
      <x:c r="B81" s="26" t="str">
        <x:v>Ambiente, Sostenibilidad, Residuos y Circularidad</x:v>
      </x:c>
      <x:c r="C81" s="26" t="str">
        <x:v>F1104</x:v>
      </x:c>
      <x:c r="D81" s="26" t="str">
        <x:v>Tratamiento de aguas y efluentes</x:v>
      </x:c>
      <x:c r="E81" s="32" t="n">
        <x:v>0.15384615384615385</x:v>
      </x:c>
      <x:c r="F81" s="32" t="n">
        <x:v>0.15384615384615385</x:v>
      </x:c>
      <x:c r="G81" s="32" t="n">
        <x:v>0</x:v>
      </x:c>
      <x:c r="H81" s="26" t="str">
        <x:v>Baja prevalencia</x:v>
      </x:c>
      <x:c r="I81" s="26" t="str">
        <x:v>Nicho / especialización</x:v>
      </x:c>
      <x:c r="J81" s="32" t="n">
        <x:v>0.005555555555555556</x:v>
      </x:c>
      <x:c r="K81" s="33" t="n">
        <x:v>83.33333333333333</x:v>
      </x:c>
      <x:c r="L81" s="26" t="str">
        <x:v>E4 Integración/especialización</x:v>
      </x:c>
      <x:c r="M81" s="26" t="str">
        <x:v>N2</x:v>
      </x:c>
      <x:c r="N81" s="26" t="str">
        <x:v>AUSENTE</x:v>
      </x:c>
      <x:c r="O81" s="26" t="str"/>
      <x:c r="P81" s="26" t="n">
        <x:v>0</x:v>
      </x:c>
      <x:c r="Q81" s="32" t="n">
        <x:f>P81/135</x:f>
        <x:v>0</x:v>
      </x:c>
      <x:c r="R81" s="32" t="n">
        <x:f>IF(J81=0,"",Q81/J81)</x:f>
        <x:v>0</x:v>
      </x:c>
      <x:c r="S81" s="33"/>
      <x:c r="T81" s="26" t="str">
        <x:v>NR</x:v>
      </x:c>
      <x:c r="U81" s="26" t="str">
        <x:v>NR</x:v>
      </x:c>
      <x:c r="V81" s="26" t="str"/>
      <x:c r="W81" s="26" t="str"/>
      <x:c r="X81" s="26" t="str"/>
      <x:c r="Y81" s="26" t="str"/>
      <x:c r="Z81" s="26" t="str">
        <x:v>AUSENCIA</x:v>
      </x:c>
      <x:c r="AA81" s="26" t="str">
        <x:v>NO PRIORIZAR</x:v>
      </x:c>
      <x:c r="AB81" s="26" t="str">
        <x:v>Baja</x:v>
      </x:c>
      <x:c r="AC81" s="26" t="str">
        <x:v>Ausencia sin suficiente evidencia internacional + EPN para justificar una nueva materia en esta fase.</x:v>
      </x:c>
    </x:row>
    <x:row r="82">
      <x:c r="A82" s="26" t="str">
        <x:v>A11</x:v>
      </x:c>
      <x:c r="B82" s="26" t="str">
        <x:v>Ambiente, Sostenibilidad, Residuos y Circularidad</x:v>
      </x:c>
      <x:c r="C82" s="26" t="str">
        <x:v>F1105</x:v>
      </x:c>
      <x:c r="D82" s="26" t="str">
        <x:v>Sostenibilidad y economía circular</x:v>
      </x:c>
      <x:c r="E82" s="32" t="n">
        <x:v>0.07692307692307693</x:v>
      </x:c>
      <x:c r="F82" s="32" t="n">
        <x:v>0.07692307692307693</x:v>
      </x:c>
      <x:c r="G82" s="32" t="n">
        <x:v>0.42857142857142855</x:v>
      </x:c>
      <x:c r="H82" s="26" t="str">
        <x:v>Baja prevalencia</x:v>
      </x:c>
      <x:c r="I82" s="26" t="str">
        <x:v>Emergente desde nivel avanzado</x:v>
      </x:c>
      <x:c r="J82" s="32" t="n">
        <x:v>0</x:v>
      </x:c>
      <x:c r="K82" s="33" t="n">
        <x:v>75</x:v>
      </x:c>
      <x:c r="L82" s="26" t="str">
        <x:v>E3 Formación profesional</x:v>
      </x:c>
      <x:c r="M82" s="26" t="str">
        <x:v>N2</x:v>
      </x:c>
      <x:c r="N82" s="26" t="str">
        <x:v>REQUISITO_GRADUACION</x:v>
      </x:c>
      <x:c r="O82" s="26" t="str">
        <x:v>AGRD600 Agricultura Ecológica</x:v>
      </x:c>
      <x:c r="P82" s="26" t="n">
        <x:v>0</x:v>
      </x:c>
      <x:c r="Q82" s="32" t="n">
        <x:f>P82/135</x:f>
        <x:v>0</x:v>
      </x:c>
      <x:c r="R82" s="32" t="str">
        <x:f>IF(J82=0,"",Q82/J82)</x:f>
      </x:c>
      <x:c r="S82" s="33"/>
      <x:c r="T82" s="26" t="str">
        <x:v>NR</x:v>
      </x:c>
      <x:c r="U82" s="26" t="str">
        <x:v>N2</x:v>
      </x:c>
      <x:c r="V82" s="26" t="str"/>
      <x:c r="W82" s="26" t="str">
        <x:v>PP2; PP4; PP5; CPIA2; CPIA3; CPIA4; CPIA5</x:v>
      </x:c>
      <x:c r="X82" s="26" t="str">
        <x:v>S03; S12</x:v>
      </x:c>
      <x:c r="Y82" s="26" t="str">
        <x:v>Crítica</x:v>
      </x:c>
      <x:c r="Z82" s="26" t="str">
        <x:v>SOLO_REQUISITO_GRADUACION</x:v>
      </x:c>
      <x:c r="AA82" s="26" t="str">
        <x:v>INTEGRAR</x:v>
      </x:c>
      <x:c r="AB82" s="26" t="str">
        <x:v>Crítica</x:v>
      </x:c>
      <x:c r="AC82" s="26" t="str">
        <x:v>Sostenibilidad y economía circular deben ser eje transversal y evaluable, no solo una asignatura aislada.</x:v>
      </x:c>
    </x:row>
    <x:row r="83">
      <x:c r="A83" s="26" t="str">
        <x:v>A11</x:v>
      </x:c>
      <x:c r="B83" s="26" t="str">
        <x:v>Ambiente, Sostenibilidad, Residuos y Circularidad</x:v>
      </x:c>
      <x:c r="C83" s="26" t="str">
        <x:v>F1106</x:v>
      </x:c>
      <x:c r="D83" s="26" t="str">
        <x:v>Bioenergía, biomasa y energía ambiental</x:v>
      </x:c>
      <x:c r="E83" s="32" t="n">
        <x:v>0.07692307692307693</x:v>
      </x:c>
      <x:c r="F83" s="32" t="n">
        <x:v>0</x:v>
      </x:c>
      <x:c r="G83" s="32" t="n">
        <x:v>0</x:v>
      </x:c>
      <x:c r="H83" s="26" t="str">
        <x:v>Baja prevalencia</x:v>
      </x:c>
      <x:c r="I83" s="26" t="str">
        <x:v>Nicho / especialización</x:v>
      </x:c>
      <x:c r="J83" s="32" t="n">
        <x:v>0</x:v>
      </x:c>
      <x:c r="K83" s="33" t="n">
        <x:v>25</x:v>
      </x:c>
      <x:c r="L83" s="26" t="str">
        <x:v>E1 Fundamentos</x:v>
      </x:c>
      <x:c r="M83" s="26" t="str">
        <x:v>N2</x:v>
      </x:c>
      <x:c r="N83" s="26" t="str">
        <x:v>AUSENTE</x:v>
      </x:c>
      <x:c r="O83" s="26" t="str"/>
      <x:c r="P83" s="26" t="n">
        <x:v>0</x:v>
      </x:c>
      <x:c r="Q83" s="32" t="n">
        <x:f>P83/135</x:f>
        <x:v>0</x:v>
      </x:c>
      <x:c r="R83" s="32" t="str">
        <x:f>IF(J83=0,"",Q83/J83)</x:f>
      </x:c>
      <x:c r="S83" s="33"/>
      <x:c r="T83" s="26" t="str">
        <x:v>NR</x:v>
      </x:c>
      <x:c r="U83" s="26" t="str">
        <x:v>NR</x:v>
      </x:c>
      <x:c r="V83" s="26" t="str"/>
      <x:c r="W83" s="26" t="str"/>
      <x:c r="X83" s="26" t="str">
        <x:v>S03</x:v>
      </x:c>
      <x:c r="Y83" s="26" t="str">
        <x:v>Alta</x:v>
      </x:c>
      <x:c r="Z83" s="26" t="str">
        <x:v>AUSENCIA</x:v>
      </x:c>
      <x:c r="AA83" s="26" t="str">
        <x:v>INTEGRAR</x:v>
      </x:c>
      <x:c r="AB83" s="26" t="str">
        <x:v>Muy alta</x:v>
      </x:c>
      <x:c r="AC83" s="26" t="str">
        <x:v>Demanda EPN/perfil relevante; incorporar como resultado transversal o módulo antes de crear una asignatura independiente.</x:v>
      </x:c>
    </x:row>
    <x:row r="84">
      <x:c r="A84" s="26" t="str">
        <x:v>A12</x:v>
      </x:c>
      <x:c r="B84" s="26" t="str">
        <x:v>Economía, Gestión, Marketing y Cadena de Suministro</x:v>
      </x:c>
      <x:c r="C84" s="26" t="str">
        <x:v>F1201</x:v>
      </x:c>
      <x:c r="D84" s="26" t="str">
        <x:v>Economía y sistemas agroalimentarios</x:v>
      </x:c>
      <x:c r="E84" s="32" t="n">
        <x:v>0.6153846153846154</x:v>
      </x:c>
      <x:c r="F84" s="32" t="n">
        <x:v>0.6153846153846154</x:v>
      </x:c>
      <x:c r="G84" s="32" t="n">
        <x:v>0.42857142857142855</x:v>
      </x:c>
      <x:c r="H84" s="26" t="str">
        <x:v>Consolidada</x:v>
      </x:c>
      <x:c r="I84" s="26" t="str"/>
      <x:c r="J84" s="32" t="n">
        <x:v>0.02164351851851852</x:v>
      </x:c>
      <x:c r="K84" s="33" t="n">
        <x:v>28.125</x:v>
      </x:c>
      <x:c r="L84" s="26" t="str">
        <x:v>E2 Fundamentos de ingeniería</x:v>
      </x:c>
      <x:c r="M84" s="26" t="str">
        <x:v>N2</x:v>
      </x:c>
      <x:c r="N84" s="26" t="str">
        <x:v>CORE_PRINCIPAL</x:v>
      </x:c>
      <x:c r="O84" s="26" t="str">
        <x:v>CSHD211 Análisis Socioeconómico y Político del Ecuador; CSHD400 Asignatura de Economía y Sociedad</x:v>
      </x:c>
      <x:c r="P84" s="26" t="n">
        <x:v>2</x:v>
      </x:c>
      <x:c r="Q84" s="32" t="n">
        <x:f>P84/135</x:f>
        <x:v>0.014814814814814815</x:v>
      </x:c>
      <x:c r="R84" s="32" t="n">
        <x:f>IF(J84=0,"",Q84/J84)</x:f>
        <x:v>0.6844919786096256</x:v>
      </x:c>
      <x:c r="S84" s="33" t="n">
        <x:v>61.111111111111114</x:v>
      </x:c>
      <x:c r="T84" s="26" t="str">
        <x:v>E3 Formación profesional</x:v>
      </x:c>
      <x:c r="U84" s="26" t="str">
        <x:v>N1</x:v>
      </x:c>
      <x:c r="V84" s="26" t="str"/>
      <x:c r="W84" s="26" t="str"/>
      <x:c r="X84" s="26" t="str"/>
      <x:c r="Y84" s="26" t="str"/>
      <x:c r="Z84" s="26" t="str">
        <x:v>CUBIERTA</x:v>
      </x:c>
      <x:c r="AA84" s="26" t="str">
        <x:v>MANTENER</x:v>
      </x:c>
      <x:c r="AB84" s="26" t="str">
        <x:v>Media</x:v>
      </x:c>
      <x:c r="AC84" s="26" t="str">
        <x:v>Cobertura explícita en la malla EPN y sin brecha prioritaria suficiente para justificar aumento de carga.</x:v>
      </x:c>
    </x:row>
    <x:row r="85">
      <x:c r="A85" s="26" t="str">
        <x:v>A12</x:v>
      </x:c>
      <x:c r="B85" s="26" t="str">
        <x:v>Economía, Gestión, Marketing y Cadena de Suministro</x:v>
      </x:c>
      <x:c r="C85" s="26" t="str">
        <x:v>F1202</x:v>
      </x:c>
      <x:c r="D85" s="26" t="str">
        <x:v>Administración y gestión empresarial</x:v>
      </x:c>
      <x:c r="E85" s="32" t="n">
        <x:v>0.5384615384615384</x:v>
      </x:c>
      <x:c r="F85" s="32" t="n">
        <x:v>0.5384615384615384</x:v>
      </x:c>
      <x:c r="G85" s="32" t="n">
        <x:v>0.42857142857142855</x:v>
      </x:c>
      <x:c r="H85" s="26" t="str">
        <x:v>Consolidada</x:v>
      </x:c>
      <x:c r="I85" s="26" t="str"/>
      <x:c r="J85" s="32" t="n">
        <x:v>0.017824074074074076</x:v>
      </x:c>
      <x:c r="K85" s="33" t="n">
        <x:v>58.333333333333336</x:v>
      </x:c>
      <x:c r="L85" s="26" t="str">
        <x:v>E3 Formación profesional</x:v>
      </x:c>
      <x:c r="M85" s="26" t="str">
        <x:v>N2</x:v>
      </x:c>
      <x:c r="N85" s="26" t="str">
        <x:v>CORE_PRINCIPAL + CORE_SECUNDARIA</x:v>
      </x:c>
      <x:c r="O85" s="26" t="str">
        <x:v>ADMD511 Gestión Organizacional; ADMD611 Gestión de Procesos y Calidad</x:v>
      </x:c>
      <x:c r="P85" s="26" t="n">
        <x:v>1</x:v>
      </x:c>
      <x:c r="Q85" s="32" t="n">
        <x:f>P85/135</x:f>
        <x:v>0.007407407407407408</x:v>
      </x:c>
      <x:c r="R85" s="32" t="n">
        <x:f>IF(J85=0,"",Q85/J85)</x:f>
        <x:v>0.41558441558441556</x:v>
      </x:c>
      <x:c r="S85" s="33" t="n">
        <x:v>61.111111111111114</x:v>
      </x:c>
      <x:c r="T85" s="26" t="str">
        <x:v>E3 Formación profesional</x:v>
      </x:c>
      <x:c r="U85" s="26" t="str">
        <x:v>N2</x:v>
      </x:c>
      <x:c r="V85" s="26" t="str"/>
      <x:c r="W85" s="26" t="str">
        <x:v>PP5; CPIA5</x:v>
      </x:c>
      <x:c r="X85" s="26" t="str"/>
      <x:c r="Y85" s="26" t="str"/>
      <x:c r="Z85" s="26" t="str">
        <x:v>COBERTURA_PRESENTE_PERO_INSUFICIENTE/ACTUALIZAR</x:v>
      </x:c>
      <x:c r="AA85" s="26" t="str">
        <x:v>REFORZAR</x:v>
      </x:c>
      <x:c r="AB85" s="26" t="str">
        <x:v>Alta</x:v>
      </x:c>
      <x:c r="AC85" s="26" t="str">
        <x:v>La familia está presente, pero su peso obligatorio EPN es sensiblemente menor que el promedio del benchmark Core.</x:v>
      </x:c>
    </x:row>
    <x:row r="86">
      <x:c r="A86" s="26" t="str">
        <x:v>A12</x:v>
      </x:c>
      <x:c r="B86" s="26" t="str">
        <x:v>Economía, Gestión, Marketing y Cadena de Suministro</x:v>
      </x:c>
      <x:c r="C86" s="26" t="str">
        <x:v>F1203</x:v>
      </x:c>
      <x:c r="D86" s="26" t="str">
        <x:v>Costos, valoración y finanzas</x:v>
      </x:c>
      <x:c r="E86" s="32" t="n">
        <x:v>0.23076923076923078</x:v>
      </x:c>
      <x:c r="F86" s="32" t="n">
        <x:v>0.23076923076923078</x:v>
      </x:c>
      <x:c r="G86" s="32" t="n">
        <x:v>0</x:v>
      </x:c>
      <x:c r="H86" s="26" t="str">
        <x:v>Baja prevalencia</x:v>
      </x:c>
      <x:c r="I86" s="26" t="str">
        <x:v>Nicho / especialización</x:v>
      </x:c>
      <x:c r="J86" s="32" t="n">
        <x:v>0.0034722222222222225</x:v>
      </x:c>
      <x:c r="K86" s="33" t="n">
        <x:v>43.75</x:v>
      </x:c>
      <x:c r="L86" s="26" t="str">
        <x:v>E2 Fundamentos de ingeniería</x:v>
      </x:c>
      <x:c r="M86" s="26" t="str">
        <x:v>N2</x:v>
      </x:c>
      <x:c r="N86" s="26" t="str">
        <x:v>CORE_PRINCIPAL</x:v>
      </x:c>
      <x:c r="O86" s="26" t="str">
        <x:v>ADMD711 Ingeniería Financiera</x:v>
      </x:c>
      <x:c r="P86" s="26" t="n">
        <x:v>1</x:v>
      </x:c>
      <x:c r="Q86" s="32" t="n">
        <x:f>P86/135</x:f>
        <x:v>0.007407407407407408</x:v>
      </x:c>
      <x:c r="R86" s="32" t="n">
        <x:f>IF(J86=0,"",Q86/J86)</x:f>
        <x:v>2.1333333333333333</x:v>
      </x:c>
      <x:c r="S86" s="33" t="n">
        <x:v>83.33333333333334</x:v>
      </x:c>
      <x:c r="T86" s="26" t="str">
        <x:v>E4 Integración/especialización</x:v>
      </x:c>
      <x:c r="U86" s="26" t="str">
        <x:v>N2</x:v>
      </x:c>
      <x:c r="V86" s="26" t="str"/>
      <x:c r="W86" s="26" t="str">
        <x:v>PP5; CPIA2; CPIA5</x:v>
      </x:c>
      <x:c r="X86" s="26" t="str"/>
      <x:c r="Y86" s="26" t="str"/>
      <x:c r="Z86" s="26" t="str">
        <x:v>CUBIERTA</x:v>
      </x:c>
      <x:c r="AA86" s="26" t="str">
        <x:v>MANTENER</x:v>
      </x:c>
      <x:c r="AB86" s="26" t="str">
        <x:v>Media</x:v>
      </x:c>
      <x:c r="AC86" s="26" t="str">
        <x:v>Cobertura explícita en la malla EPN y sin brecha prioritaria suficiente para justificar aumento de carga.</x:v>
      </x:c>
    </x:row>
    <x:row r="87">
      <x:c r="A87" s="26" t="str">
        <x:v>A12</x:v>
      </x:c>
      <x:c r="B87" s="26" t="str">
        <x:v>Economía, Gestión, Marketing y Cadena de Suministro</x:v>
      </x:c>
      <x:c r="C87" s="26" t="str">
        <x:v>F1204</x:v>
      </x:c>
      <x:c r="D87" s="26" t="str">
        <x:v>Marketing y comercialización</x:v>
      </x:c>
      <x:c r="E87" s="32" t="n">
        <x:v>0.3076923076923077</x:v>
      </x:c>
      <x:c r="F87" s="32" t="n">
        <x:v>0.23076923076923078</x:v>
      </x:c>
      <x:c r="G87" s="32" t="n">
        <x:v>0.5714285714285714</x:v>
      </x:c>
      <x:c r="H87" s="26" t="str">
        <x:v>Selectiva</x:v>
      </x:c>
      <x:c r="I87" s="26" t="str"/>
      <x:c r="J87" s="32" t="n">
        <x:v>0.002777777777777778</x:v>
      </x:c>
      <x:c r="K87" s="33" t="n">
        <x:v>68.75</x:v>
      </x:c>
      <x:c r="L87" s="26" t="str">
        <x:v>E3 Formación profesional</x:v>
      </x:c>
      <x:c r="M87" s="26" t="str">
        <x:v>N2</x:v>
      </x:c>
      <x:c r="N87" s="26" t="str">
        <x:v>CORE_PRINCIPAL</x:v>
      </x:c>
      <x:c r="O87" s="26" t="str">
        <x:v>AGRD761 Agrocomercio</x:v>
      </x:c>
      <x:c r="P87" s="26" t="n">
        <x:v>1</x:v>
      </x:c>
      <x:c r="Q87" s="32" t="n">
        <x:f>P87/135</x:f>
        <x:v>0.007407407407407408</x:v>
      </x:c>
      <x:c r="R87" s="32" t="n">
        <x:f>IF(J87=0,"",Q87/J87)</x:f>
        <x:v>2.6666666666666665</x:v>
      </x:c>
      <x:c r="S87" s="33" t="n">
        <x:v>72.22222222222221</x:v>
      </x:c>
      <x:c r="T87" s="26" t="str">
        <x:v>E3 Formación profesional</x:v>
      </x:c>
      <x:c r="U87" s="26" t="str">
        <x:v>N2</x:v>
      </x:c>
      <x:c r="V87" s="26" t="str"/>
      <x:c r="W87" s="26" t="str"/>
      <x:c r="X87" s="26" t="str"/>
      <x:c r="Y87" s="26" t="str"/>
      <x:c r="Z87" s="26" t="str">
        <x:v>CUBIERTA</x:v>
      </x:c>
      <x:c r="AA87" s="26" t="str">
        <x:v>MANTENER</x:v>
      </x:c>
      <x:c r="AB87" s="26" t="str">
        <x:v>Media</x:v>
      </x:c>
      <x:c r="AC87" s="26" t="str">
        <x:v>Cobertura explícita en la malla EPN y sin brecha prioritaria suficiente para justificar aumento de carga.</x:v>
      </x:c>
    </x:row>
    <x:row r="88">
      <x:c r="A88" s="26" t="str">
        <x:v>A12</x:v>
      </x:c>
      <x:c r="B88" s="26" t="str">
        <x:v>Economía, Gestión, Marketing y Cadena de Suministro</x:v>
      </x:c>
      <x:c r="C88" s="26" t="str">
        <x:v>F1205</x:v>
      </x:c>
      <x:c r="D88" s="26" t="str">
        <x:v>Logística y supply chain</x:v>
      </x:c>
      <x:c r="E88" s="32" t="n">
        <x:v>0.07692307692307693</x:v>
      </x:c>
      <x:c r="F88" s="32" t="n">
        <x:v>0</x:v>
      </x:c>
      <x:c r="G88" s="32" t="n">
        <x:v>0.14285714285714285</x:v>
      </x:c>
      <x:c r="H88" s="26" t="str">
        <x:v>Baja prevalencia</x:v>
      </x:c>
      <x:c r="I88" s="26" t="str">
        <x:v>Nicho / especialización</x:v>
      </x:c>
      <x:c r="J88" s="32" t="n">
        <x:v>0</x:v>
      </x:c>
      <x:c r="K88" s="33" t="n">
        <x:v>93.75</x:v>
      </x:c>
      <x:c r="L88" s="26" t="str">
        <x:v>E4 Integración/especialización</x:v>
      </x:c>
      <x:c r="M88" s="26" t="str">
        <x:v>N2</x:v>
      </x:c>
      <x:c r="N88" s="26" t="str">
        <x:v>AUSENTE</x:v>
      </x:c>
      <x:c r="O88" s="26" t="str"/>
      <x:c r="P88" s="26" t="n">
        <x:v>0</x:v>
      </x:c>
      <x:c r="Q88" s="32" t="n">
        <x:f>P88/135</x:f>
        <x:v>0</x:v>
      </x:c>
      <x:c r="R88" s="32" t="str">
        <x:f>IF(J88=0,"",Q88/J88)</x:f>
      </x:c>
      <x:c r="S88" s="33"/>
      <x:c r="T88" s="26" t="str">
        <x:v>NR</x:v>
      </x:c>
      <x:c r="U88" s="26" t="str">
        <x:v>NR</x:v>
      </x:c>
      <x:c r="V88" s="26" t="str"/>
      <x:c r="W88" s="26" t="str"/>
      <x:c r="X88" s="26" t="str"/>
      <x:c r="Y88" s="26" t="str"/>
      <x:c r="Z88" s="26" t="str">
        <x:v>AUSENCIA</x:v>
      </x:c>
      <x:c r="AA88" s="26" t="str">
        <x:v>NO PRIORIZAR</x:v>
      </x:c>
      <x:c r="AB88" s="26" t="str">
        <x:v>Baja</x:v>
      </x:c>
      <x:c r="AC88" s="26" t="str">
        <x:v>Ausencia sin suficiente evidencia internacional + EPN para justificar una nueva materia en esta fase.</x:v>
      </x:c>
    </x:row>
    <x:row r="89">
      <x:c r="A89" s="26" t="str">
        <x:v>A12</x:v>
      </x:c>
      <x:c r="B89" s="26" t="str">
        <x:v>Economía, Gestión, Marketing y Cadena de Suministro</x:v>
      </x:c>
      <x:c r="C89" s="26" t="str">
        <x:v>F1206</x:v>
      </x:c>
      <x:c r="D89" s="26" t="str">
        <x:v>Gestión de producción y operaciones</x:v>
      </x:c>
      <x:c r="E89" s="32" t="n">
        <x:v>0</x:v>
      </x:c>
      <x:c r="F89" s="32" t="n">
        <x:v>0</x:v>
      </x:c>
      <x:c r="G89" s="32" t="n">
        <x:v>0.14285714285714285</x:v>
      </x:c>
      <x:c r="H89" s="26" t="str">
        <x:v>Baja prevalencia</x:v>
      </x:c>
      <x:c r="I89" s="26" t="str"/>
      <x:c r="J89" s="32" t="n">
        <x:v>0</x:v>
      </x:c>
      <x:c r="K89" s="33"/>
      <x:c r="L89" s="26" t="str">
        <x:v>NR</x:v>
      </x:c>
      <x:c r="M89" s="26" t="str">
        <x:v>NR</x:v>
      </x:c>
      <x:c r="N89" s="26" t="str">
        <x:v>AUSENTE</x:v>
      </x:c>
      <x:c r="O89" s="26" t="str"/>
      <x:c r="P89" s="26" t="n">
        <x:v>0</x:v>
      </x:c>
      <x:c r="Q89" s="32" t="n">
        <x:f>P89/135</x:f>
        <x:v>0</x:v>
      </x:c>
      <x:c r="R89" s="32" t="str">
        <x:f>IF(J89=0,"",Q89/J89)</x:f>
      </x:c>
      <x:c r="S89" s="33"/>
      <x:c r="T89" s="26" t="str">
        <x:v>NR</x:v>
      </x:c>
      <x:c r="U89" s="26" t="str">
        <x:v>NR</x:v>
      </x:c>
      <x:c r="V89" s="26" t="str"/>
      <x:c r="W89" s="26" t="str">
        <x:v>PP5; CPIA5</x:v>
      </x:c>
      <x:c r="X89" s="26" t="str">
        <x:v>S04</x:v>
      </x:c>
      <x:c r="Y89" s="26" t="str">
        <x:v>Alta</x:v>
      </x:c>
      <x:c r="Z89" s="26" t="str">
        <x:v>AUSENCIA</x:v>
      </x:c>
      <x:c r="AA89" s="26" t="str">
        <x:v>INTEGRAR</x:v>
      </x:c>
      <x:c r="AB89" s="26" t="str">
        <x:v>Muy alta</x:v>
      </x:c>
      <x:c r="AC89" s="26" t="str">
        <x:v>Demanda EPN/perfil relevante; incorporar como resultado transversal o módulo antes de crear una asignatura independiente.</x:v>
      </x:c>
    </x:row>
    <x:row r="90">
      <x:c r="A90" s="26" t="str">
        <x:v>A12</x:v>
      </x:c>
      <x:c r="B90" s="26" t="str">
        <x:v>Economía, Gestión, Marketing y Cadena de Suministro</x:v>
      </x:c>
      <x:c r="C90" s="26" t="str">
        <x:v>F1207</x:v>
      </x:c>
      <x:c r="D90" s="26" t="str">
        <x:v>Gestión de proyectos</x:v>
      </x:c>
      <x:c r="E90" s="32" t="n">
        <x:v>0</x:v>
      </x:c>
      <x:c r="F90" s="32" t="n">
        <x:v>0</x:v>
      </x:c>
      <x:c r="G90" s="32" t="n">
        <x:v>0.42857142857142855</x:v>
      </x:c>
      <x:c r="H90" s="26" t="str">
        <x:v>Baja prevalencia</x:v>
      </x:c>
      <x:c r="I90" s="26" t="str"/>
      <x:c r="J90" s="32" t="n">
        <x:v>0</x:v>
      </x:c>
      <x:c r="K90" s="33"/>
      <x:c r="L90" s="26" t="str">
        <x:v>NR</x:v>
      </x:c>
      <x:c r="M90" s="26" t="str">
        <x:v>NR</x:v>
      </x:c>
      <x:c r="N90" s="26" t="str">
        <x:v>REQUISITO_GRADUACION</x:v>
      </x:c>
      <x:c r="O90" s="26" t="str">
        <x:v>ADMD800 Formulación y Evaluación de Proyectos</x:v>
      </x:c>
      <x:c r="P90" s="26" t="n">
        <x:v>0</x:v>
      </x:c>
      <x:c r="Q90" s="32" t="n">
        <x:f>P90/135</x:f>
        <x:v>0</x:v>
      </x:c>
      <x:c r="R90" s="32" t="str">
        <x:f>IF(J90=0,"",Q90/J90)</x:f>
      </x:c>
      <x:c r="S90" s="33"/>
      <x:c r="T90" s="26" t="str">
        <x:v>NR</x:v>
      </x:c>
      <x:c r="U90" s="26" t="str">
        <x:v>N2</x:v>
      </x:c>
      <x:c r="V90" s="26" t="str"/>
      <x:c r="W90" s="26" t="str">
        <x:v>PP5</x:v>
      </x:c>
      <x:c r="X90" s="26" t="str">
        <x:v>S10</x:v>
      </x:c>
      <x:c r="Y90" s="26" t="str">
        <x:v>Alta</x:v>
      </x:c>
      <x:c r="Z90" s="26" t="str">
        <x:v>SOLO_REQUISITO_GRADUACION</x:v>
      </x:c>
      <x:c r="AA90" s="26" t="str">
        <x:v>INTEGRAR</x:v>
      </x:c>
      <x:c r="AB90" s="26" t="str">
        <x:v>Muy alta</x:v>
      </x:c>
      <x:c r="AC90" s="26" t="str">
        <x:v>Formulación y Evaluación de Proyectos existe como requisito; articularla con PP5 y una secuencia de proyecto/gestión.</x:v>
      </x:c>
    </x:row>
    <x:row r="91">
      <x:c r="A91" s="26" t="str">
        <x:v>A12</x:v>
      </x:c>
      <x:c r="B91" s="26" t="str">
        <x:v>Economía, Gestión, Marketing y Cadena de Suministro</x:v>
      </x:c>
      <x:c r="C91" s="26" t="str">
        <x:v>F1208</x:v>
      </x:c>
      <x:c r="D91" s="26" t="str">
        <x:v>Emprendimiento y modelos de negocio</x:v>
      </x:c>
      <x:c r="E91" s="32" t="n">
        <x:v>0.23076923076923078</x:v>
      </x:c>
      <x:c r="F91" s="32" t="n">
        <x:v>0.15384615384615385</x:v>
      </x:c>
      <x:c r="G91" s="32" t="n">
        <x:v>0.14285714285714285</x:v>
      </x:c>
      <x:c r="H91" s="26" t="str">
        <x:v>Baja prevalencia</x:v>
      </x:c>
      <x:c r="I91" s="26" t="str">
        <x:v>Emergente en grado</x:v>
      </x:c>
      <x:c r="J91" s="32" t="n">
        <x:v>0.005092592592592592</x:v>
      </x:c>
      <x:c r="K91" s="33" t="n">
        <x:v>81.25</x:v>
      </x:c>
      <x:c r="L91" s="26" t="str">
        <x:v>E4 Integración/especialización</x:v>
      </x:c>
      <x:c r="M91" s="26" t="str">
        <x:v>N2</x:v>
      </x:c>
      <x:c r="N91" s="26" t="str">
        <x:v>REQUISITO_GRADUACION</x:v>
      </x:c>
      <x:c r="O91" s="26" t="str">
        <x:v>ADMD700 Emprendimiento</x:v>
      </x:c>
      <x:c r="P91" s="26" t="n">
        <x:v>0</x:v>
      </x:c>
      <x:c r="Q91" s="32" t="n">
        <x:f>P91/135</x:f>
        <x:v>0</x:v>
      </x:c>
      <x:c r="R91" s="32" t="n">
        <x:f>IF(J91=0,"",Q91/J91)</x:f>
        <x:v>0</x:v>
      </x:c>
      <x:c r="S91" s="33"/>
      <x:c r="T91" s="26" t="str">
        <x:v>NR</x:v>
      </x:c>
      <x:c r="U91" s="26" t="str">
        <x:v>N2</x:v>
      </x:c>
      <x:c r="V91" s="26" t="str"/>
      <x:c r="W91" s="26" t="str">
        <x:v>PP5</x:v>
      </x:c>
      <x:c r="X91" s="26" t="str"/>
      <x:c r="Y91" s="26" t="str"/>
      <x:c r="Z91" s="26" t="str">
        <x:v>SOLO_REQUISITO_GRADUACION</x:v>
      </x:c>
      <x:c r="AA91" s="26" t="str">
        <x:v>INTEGRAR</x:v>
      </x:c>
      <x:c r="AB91" s="26" t="str">
        <x:v>Alta</x:v>
      </x:c>
      <x:c r="AC91" s="26" t="str">
        <x:v>Emprendimiento ya es requisito; integrarlo con innovación, modelo de negocio y proyecto final.</x:v>
      </x:c>
    </x:row>
    <x:row r="92">
      <x:c r="A92" s="26" t="str">
        <x:v>A13</x:v>
      </x:c>
      <x:c r="B92" s="26" t="str">
        <x:v>Nutrición, Salud, Sensorial y Consumidor</x:v>
      </x:c>
      <x:c r="C92" s="26" t="str">
        <x:v>F1301</x:v>
      </x:c>
      <x:c r="D92" s="26" t="str">
        <x:v>Nutrición humana y dietética</x:v>
      </x:c>
      <x:c r="E92" s="32" t="n">
        <x:v>0.3076923076923077</x:v>
      </x:c>
      <x:c r="F92" s="32" t="n">
        <x:v>0.3076923076923077</x:v>
      </x:c>
      <x:c r="G92" s="32" t="n">
        <x:v>0.2857142857142857</x:v>
      </x:c>
      <x:c r="H92" s="26" t="str">
        <x:v>Selectiva</x:v>
      </x:c>
      <x:c r="I92" s="26" t="str"/>
      <x:c r="J92" s="32" t="n">
        <x:v>0.006597222222222222</x:v>
      </x:c>
      <x:c r="K92" s="33" t="n">
        <x:v>41.66666666666667</x:v>
      </x:c>
      <x:c r="L92" s="26" t="str">
        <x:v>E2 Fundamentos de ingeniería</x:v>
      </x:c>
      <x:c r="M92" s="26" t="str">
        <x:v>N2</x:v>
      </x:c>
      <x:c r="N92" s="26" t="str">
        <x:v>AUSENTE</x:v>
      </x:c>
      <x:c r="O92" s="26" t="str"/>
      <x:c r="P92" s="26" t="n">
        <x:v>0</x:v>
      </x:c>
      <x:c r="Q92" s="32" t="n">
        <x:f>P92/135</x:f>
        <x:v>0</x:v>
      </x:c>
      <x:c r="R92" s="32" t="n">
        <x:f>IF(J92=0,"",Q92/J92)</x:f>
        <x:v>0</x:v>
      </x:c>
      <x:c r="S92" s="33"/>
      <x:c r="T92" s="26" t="str">
        <x:v>NR</x:v>
      </x:c>
      <x:c r="U92" s="26" t="str">
        <x:v>NR</x:v>
      </x:c>
      <x:c r="V92" s="26" t="str"/>
      <x:c r="W92" s="26" t="str"/>
      <x:c r="X92" s="26" t="str"/>
      <x:c r="Y92" s="26" t="str"/>
      <x:c r="Z92" s="26" t="str">
        <x:v>AUSENCIA</x:v>
      </x:c>
      <x:c r="AA92" s="26" t="str">
        <x:v>NO PRIORIZAR</x:v>
      </x:c>
      <x:c r="AB92" s="26" t="str">
        <x:v>Baja</x:v>
      </x:c>
      <x:c r="AC92" s="26" t="str">
        <x:v>Ausencia sin suficiente evidencia internacional + EPN para justificar una nueva materia en esta fase.</x:v>
      </x:c>
    </x:row>
    <x:row r="93">
      <x:c r="A93" s="26" t="str">
        <x:v>A13</x:v>
      </x:c>
      <x:c r="B93" s="26" t="str">
        <x:v>Nutrición, Salud, Sensorial y Consumidor</x:v>
      </x:c>
      <x:c r="C93" s="26" t="str">
        <x:v>F1302</x:v>
      </x:c>
      <x:c r="D93" s="26" t="str">
        <x:v>Alimentación y salud / alimentos funcionales</x:v>
      </x:c>
      <x:c r="E93" s="32" t="n">
        <x:v>0</x:v>
      </x:c>
      <x:c r="F93" s="32" t="n">
        <x:v>0</x:v>
      </x:c>
      <x:c r="G93" s="32" t="n">
        <x:v>0.14285714285714285</x:v>
      </x:c>
      <x:c r="H93" s="26" t="str">
        <x:v>Baja prevalencia</x:v>
      </x:c>
      <x:c r="I93" s="26" t="str"/>
      <x:c r="J93" s="32" t="n">
        <x:v>0</x:v>
      </x:c>
      <x:c r="K93" s="33"/>
      <x:c r="L93" s="26" t="str">
        <x:v>NR</x:v>
      </x:c>
      <x:c r="M93" s="26" t="str">
        <x:v>NR</x:v>
      </x:c>
      <x:c r="N93" s="26" t="str">
        <x:v>AUSENTE</x:v>
      </x:c>
      <x:c r="O93" s="26" t="str"/>
      <x:c r="P93" s="26" t="n">
        <x:v>0</x:v>
      </x:c>
      <x:c r="Q93" s="32" t="n">
        <x:f>P93/135</x:f>
        <x:v>0</x:v>
      </x:c>
      <x:c r="R93" s="32" t="str">
        <x:f>IF(J93=0,"",Q93/J93)</x:f>
      </x:c>
      <x:c r="S93" s="33"/>
      <x:c r="T93" s="26" t="str">
        <x:v>NR</x:v>
      </x:c>
      <x:c r="U93" s="26" t="str">
        <x:v>NR</x:v>
      </x:c>
      <x:c r="V93" s="26" t="str"/>
      <x:c r="W93" s="26" t="str"/>
      <x:c r="X93" s="26" t="str"/>
      <x:c r="Y93" s="26" t="str"/>
      <x:c r="Z93" s="26" t="str">
        <x:v>AUSENCIA</x:v>
      </x:c>
      <x:c r="AA93" s="26" t="str">
        <x:v>NO PRIORIZAR</x:v>
      </x:c>
      <x:c r="AB93" s="26" t="str">
        <x:v>Baja</x:v>
      </x:c>
      <x:c r="AC93" s="26" t="str">
        <x:v>Ausencia sin suficiente evidencia internacional + EPN para justificar una nueva materia en esta fase.</x:v>
      </x:c>
    </x:row>
    <x:row r="94">
      <x:c r="A94" s="26" t="str">
        <x:v>A13</x:v>
      </x:c>
      <x:c r="B94" s="26" t="str">
        <x:v>Nutrición, Salud, Sensorial y Consumidor</x:v>
      </x:c>
      <x:c r="C94" s="26" t="str">
        <x:v>F1303</x:v>
      </x:c>
      <x:c r="D94" s="26" t="str">
        <x:v>Ciencia sensorial y del consumidor</x:v>
      </x:c>
      <x:c r="E94" s="32" t="n">
        <x:v>0</x:v>
      </x:c>
      <x:c r="F94" s="32" t="n">
        <x:v>0</x:v>
      </x:c>
      <x:c r="G94" s="32" t="n">
        <x:v>0</x:v>
      </x:c>
      <x:c r="H94" s="26" t="str">
        <x:v>Baja prevalencia</x:v>
      </x:c>
      <x:c r="I94" s="26" t="str"/>
      <x:c r="J94" s="32" t="n">
        <x:v>0</x:v>
      </x:c>
      <x:c r="K94" s="33"/>
      <x:c r="L94" s="26" t="str">
        <x:v>NR</x:v>
      </x:c>
      <x:c r="M94" s="26" t="str">
        <x:v>NR</x:v>
      </x:c>
      <x:c r="N94" s="26" t="str">
        <x:v>AUSENTE</x:v>
      </x:c>
      <x:c r="O94" s="26" t="str"/>
      <x:c r="P94" s="26" t="n">
        <x:v>0</x:v>
      </x:c>
      <x:c r="Q94" s="32" t="n">
        <x:f>P94/135</x:f>
        <x:v>0</x:v>
      </x:c>
      <x:c r="R94" s="32" t="str">
        <x:f>IF(J94=0,"",Q94/J94)</x:f>
      </x:c>
      <x:c r="S94" s="33"/>
      <x:c r="T94" s="26" t="str">
        <x:v>NR</x:v>
      </x:c>
      <x:c r="U94" s="26" t="str">
        <x:v>NR</x:v>
      </x:c>
      <x:c r="V94" s="26" t="str"/>
      <x:c r="W94" s="26" t="str"/>
      <x:c r="X94" s="26" t="str"/>
      <x:c r="Y94" s="26" t="str"/>
      <x:c r="Z94" s="26" t="str">
        <x:v>AUSENCIA</x:v>
      </x:c>
      <x:c r="AA94" s="26" t="str">
        <x:v>NO PRIORIZAR</x:v>
      </x:c>
      <x:c r="AB94" s="26" t="str">
        <x:v>Baja</x:v>
      </x:c>
      <x:c r="AC94" s="26" t="str">
        <x:v>Ausencia sin suficiente evidencia internacional + EPN para justificar una nueva materia en esta fase.</x:v>
      </x:c>
    </x:row>
    <x:row r="95">
      <x:c r="A95" s="26" t="str">
        <x:v>A14</x:v>
      </x:c>
      <x:c r="B95" s="26" t="str">
        <x:v>Innovación, I+D y Desarrollo de Producto</x:v>
      </x:c>
      <x:c r="C95" s="26" t="str">
        <x:v>F1401</x:v>
      </x:c>
      <x:c r="D95" s="26" t="str">
        <x:v>Desarrollo e innovación de productos alimentarios</x:v>
      </x:c>
      <x:c r="E95" s="32" t="n">
        <x:v>0.38461538461538464</x:v>
      </x:c>
      <x:c r="F95" s="32" t="n">
        <x:v>0.23076923076923078</x:v>
      </x:c>
      <x:c r="G95" s="32" t="n">
        <x:v>0.5714285714285714</x:v>
      </x:c>
      <x:c r="H95" s="26" t="str">
        <x:v>Selectiva</x:v>
      </x:c>
      <x:c r="I95" s="26" t="str">
        <x:v>Emergente en grado</x:v>
      </x:c>
      <x:c r="J95" s="32" t="n">
        <x:v>0.005092592592592592</x:v>
      </x:c>
      <x:c r="K95" s="33" t="n">
        <x:v>91.66666666666666</x:v>
      </x:c>
      <x:c r="L95" s="26" t="str">
        <x:v>E4 Integración/especialización</x:v>
      </x:c>
      <x:c r="M95" s="26" t="str">
        <x:v>N2</x:v>
      </x:c>
      <x:c r="N95" s="26" t="str">
        <x:v>AUSENTE</x:v>
      </x:c>
      <x:c r="O95" s="26" t="str"/>
      <x:c r="P95" s="26" t="n">
        <x:v>0</x:v>
      </x:c>
      <x:c r="Q95" s="32" t="n">
        <x:f>P95/135</x:f>
        <x:v>0</x:v>
      </x:c>
      <x:c r="R95" s="32" t="n">
        <x:f>IF(J95=0,"",Q95/J95)</x:f>
        <x:v>0</x:v>
      </x:c>
      <x:c r="S95" s="33"/>
      <x:c r="T95" s="26" t="str">
        <x:v>NR</x:v>
      </x:c>
      <x:c r="U95" s="26" t="str">
        <x:v>NR</x:v>
      </x:c>
      <x:c r="V95" s="26" t="str"/>
      <x:c r="W95" s="26" t="str">
        <x:v>PP2; PP3; CPIA3; CPIA4</x:v>
      </x:c>
      <x:c r="X95" s="26" t="str">
        <x:v>S06</x:v>
      </x:c>
      <x:c r="Y95" s="26" t="str">
        <x:v>Alta</x:v>
      </x:c>
      <x:c r="Z95" s="26" t="str">
        <x:v>AUSENCIA</x:v>
      </x:c>
      <x:c r="AA95" s="26" t="str">
        <x:v>AÑADIR</x:v>
      </x:c>
      <x:c r="AB95" s="26" t="str">
        <x:v>Muy alta</x:v>
      </x:c>
      <x:c r="AC95" s="26" t="str">
        <x:v>Innovación y desarrollo de producto es tendencia internacional y prioridad local; la malla no tiene una asignatura explícita con ese propósito.</x:v>
      </x:c>
    </x:row>
    <x:row r="96">
      <x:c r="A96" s="26" t="str">
        <x:v>A14</x:v>
      </x:c>
      <x:c r="B96" s="26" t="str">
        <x:v>Innovación, I+D y Desarrollo de Producto</x:v>
      </x:c>
      <x:c r="C96" s="26" t="str">
        <x:v>F1402</x:v>
      </x:c>
      <x:c r="D96" s="26" t="str">
        <x:v>Formulación avanzada orientada a innovación</x:v>
      </x:c>
      <x:c r="E96" s="32" t="n">
        <x:v>0</x:v>
      </x:c>
      <x:c r="F96" s="32" t="n">
        <x:v>0</x:v>
      </x:c>
      <x:c r="G96" s="32" t="n">
        <x:v>0</x:v>
      </x:c>
      <x:c r="H96" s="26" t="str">
        <x:v>Baja prevalencia</x:v>
      </x:c>
      <x:c r="I96" s="26" t="str"/>
      <x:c r="J96" s="32" t="n">
        <x:v>0</x:v>
      </x:c>
      <x:c r="K96" s="33"/>
      <x:c r="L96" s="26" t="str">
        <x:v>NR</x:v>
      </x:c>
      <x:c r="M96" s="26" t="str">
        <x:v>NR</x:v>
      </x:c>
      <x:c r="N96" s="26" t="str">
        <x:v>AUSENTE</x:v>
      </x:c>
      <x:c r="O96" s="26" t="str"/>
      <x:c r="P96" s="26" t="n">
        <x:v>0</x:v>
      </x:c>
      <x:c r="Q96" s="32" t="n">
        <x:f>P96/135</x:f>
        <x:v>0</x:v>
      </x:c>
      <x:c r="R96" s="32" t="str">
        <x:f>IF(J96=0,"",Q96/J96)</x:f>
      </x:c>
      <x:c r="S96" s="33"/>
      <x:c r="T96" s="26" t="str">
        <x:v>NR</x:v>
      </x:c>
      <x:c r="U96" s="26" t="str">
        <x:v>NR</x:v>
      </x:c>
      <x:c r="V96" s="26" t="str"/>
      <x:c r="W96" s="26" t="str"/>
      <x:c r="X96" s="26" t="str"/>
      <x:c r="Y96" s="26" t="str"/>
      <x:c r="Z96" s="26" t="str">
        <x:v>AUSENCIA</x:v>
      </x:c>
      <x:c r="AA96" s="26" t="str">
        <x:v>NO PRIORIZAR</x:v>
      </x:c>
      <x:c r="AB96" s="26" t="str">
        <x:v>Baja</x:v>
      </x:c>
      <x:c r="AC96" s="26" t="str">
        <x:v>Ausencia sin suficiente evidencia internacional + EPN para justificar una nueva materia en esta fase.</x:v>
      </x:c>
    </x:row>
    <x:row r="97">
      <x:c r="A97" s="26" t="str">
        <x:v>A14</x:v>
      </x:c>
      <x:c r="B97" s="26" t="str">
        <x:v>Innovación, I+D y Desarrollo de Producto</x:v>
      </x:c>
      <x:c r="C97" s="26" t="str">
        <x:v>F1403</x:v>
      </x:c>
      <x:c r="D97" s="26" t="str">
        <x:v>Investigación y desarrollo aplicado</x:v>
      </x:c>
      <x:c r="E97" s="32" t="n">
        <x:v>0</x:v>
      </x:c>
      <x:c r="F97" s="32" t="n">
        <x:v>0</x:v>
      </x:c>
      <x:c r="G97" s="32" t="n">
        <x:v>0.2857142857142857</x:v>
      </x:c>
      <x:c r="H97" s="26" t="str">
        <x:v>Baja prevalencia</x:v>
      </x:c>
      <x:c r="I97" s="26" t="str">
        <x:v>Emergente desde nivel avanzado</x:v>
      </x:c>
      <x:c r="J97" s="32" t="n">
        <x:v>0</x:v>
      </x:c>
      <x:c r="K97" s="33"/>
      <x:c r="L97" s="26" t="str">
        <x:v>NR</x:v>
      </x:c>
      <x:c r="M97" s="26" t="str">
        <x:v>NR</x:v>
      </x:c>
      <x:c r="N97" s="26" t="str">
        <x:v>AUSENTE</x:v>
      </x:c>
      <x:c r="O97" s="26" t="str"/>
      <x:c r="P97" s="26" t="n">
        <x:v>0</x:v>
      </x:c>
      <x:c r="Q97" s="32" t="n">
        <x:f>P97/135</x:f>
        <x:v>0</x:v>
      </x:c>
      <x:c r="R97" s="32" t="str">
        <x:f>IF(J97=0,"",Q97/J97)</x:f>
      </x:c>
      <x:c r="S97" s="33"/>
      <x:c r="T97" s="26" t="str">
        <x:v>NR</x:v>
      </x:c>
      <x:c r="U97" s="26" t="str">
        <x:v>NR</x:v>
      </x:c>
      <x:c r="V97" s="26" t="str"/>
      <x:c r="W97" s="26" t="str">
        <x:v>PP3; CPIA4</x:v>
      </x:c>
      <x:c r="X97" s="26" t="str">
        <x:v>S06</x:v>
      </x:c>
      <x:c r="Y97" s="26" t="str">
        <x:v>Alta</x:v>
      </x:c>
      <x:c r="Z97" s="26" t="str">
        <x:v>AUSENCIA</x:v>
      </x:c>
      <x:c r="AA97" s="26" t="str">
        <x:v>INTEGRAR</x:v>
      </x:c>
      <x:c r="AB97" s="26" t="str">
        <x:v>Muy alta</x:v>
      </x:c>
      <x:c r="AC97" s="26" t="str">
        <x:v>Integrar I+D aplicada en Bioingeniería, laboratorios, simulación y trabajo de integración, con evidencia evaluable.</x:v>
      </x:c>
    </x:row>
    <x:row r="98">
      <x:c r="A98" s="26" t="str">
        <x:v>A14</x:v>
      </x:c>
      <x:c r="B98" s="26" t="str">
        <x:v>Innovación, I+D y Desarrollo de Producto</x:v>
      </x:c>
      <x:c r="C98" s="26" t="str">
        <x:v>F1404</x:v>
      </x:c>
      <x:c r="D98" s="26" t="str">
        <x:v>Diseño experimental aplicado a I+D</x:v>
      </x:c>
      <x:c r="E98" s="32" t="n">
        <x:v>0</x:v>
      </x:c>
      <x:c r="F98" s="32" t="n">
        <x:v>0</x:v>
      </x:c>
      <x:c r="G98" s="32" t="n">
        <x:v>0</x:v>
      </x:c>
      <x:c r="H98" s="26" t="str">
        <x:v>Baja prevalencia</x:v>
      </x:c>
      <x:c r="I98" s="26" t="str"/>
      <x:c r="J98" s="32" t="n">
        <x:v>0</x:v>
      </x:c>
      <x:c r="K98" s="33"/>
      <x:c r="L98" s="26" t="str">
        <x:v>NR</x:v>
      </x:c>
      <x:c r="M98" s="26" t="str">
        <x:v>NR</x:v>
      </x:c>
      <x:c r="N98" s="26" t="str">
        <x:v>AUSENTE</x:v>
      </x:c>
      <x:c r="O98" s="26" t="str"/>
      <x:c r="P98" s="26" t="n">
        <x:v>0</x:v>
      </x:c>
      <x:c r="Q98" s="32" t="n">
        <x:f>P98/135</x:f>
        <x:v>0</x:v>
      </x:c>
      <x:c r="R98" s="32" t="str">
        <x:f>IF(J98=0,"",Q98/J98)</x:f>
      </x:c>
      <x:c r="S98" s="33"/>
      <x:c r="T98" s="26" t="str">
        <x:v>NR</x:v>
      </x:c>
      <x:c r="U98" s="26" t="str">
        <x:v>NR</x:v>
      </x:c>
      <x:c r="V98" s="26" t="str"/>
      <x:c r="W98" s="26" t="str">
        <x:v>PP3; CPIA4</x:v>
      </x:c>
      <x:c r="X98" s="26" t="str"/>
      <x:c r="Y98" s="26" t="str"/>
      <x:c r="Z98" s="26" t="str">
        <x:v>AUSENCIA</x:v>
      </x:c>
      <x:c r="AA98" s="26" t="str">
        <x:v>INTEGRAR</x:v>
      </x:c>
      <x:c r="AB98" s="26" t="str">
        <x:v>Alta</x:v>
      </x:c>
      <x:c r="AC98" s="26" t="str">
        <x:v>Demanda EPN/perfil relevante; incorporar como resultado transversal o módulo antes de crear una asignatura independiente.</x:v>
      </x:c>
    </x:row>
    <x:row r="99">
      <x:c r="A99" s="26" t="str">
        <x:v>A15</x:v>
      </x:c>
      <x:c r="B99" s="26" t="str">
        <x:v>Integración Profesional, Proyectos, Prácticas y Titulación</x:v>
      </x:c>
      <x:c r="C99" s="26" t="str">
        <x:v>F1501</x:v>
      </x:c>
      <x:c r="D99" s="26" t="str">
        <x:v>Proyecto de ingeniería / oficina técnica</x:v>
      </x:c>
      <x:c r="E99" s="32" t="n">
        <x:v>0.3076923076923077</x:v>
      </x:c>
      <x:c r="F99" s="32" t="n">
        <x:v>0.3076923076923077</x:v>
      </x:c>
      <x:c r="G99" s="32" t="n">
        <x:v>0.14285714285714285</x:v>
      </x:c>
      <x:c r="H99" s="26" t="str">
        <x:v>Selectiva</x:v>
      </x:c>
      <x:c r="I99" s="26" t="str"/>
      <x:c r="J99" s="32" t="n">
        <x:v>0.005555555555555557</x:v>
      </x:c>
      <x:c r="K99" s="33" t="n">
        <x:v>75</x:v>
      </x:c>
      <x:c r="L99" s="26" t="str">
        <x:v>E3 Formación profesional</x:v>
      </x:c>
      <x:c r="M99" s="26" t="str">
        <x:v>NR</x:v>
      </x:c>
      <x:c r="N99" s="26" t="str">
        <x:v>CORE_PRINCIPAL</x:v>
      </x:c>
      <x:c r="O99" s="26" t="str">
        <x:v>TITD101 Diseño de Trabajo de Integración Curricular / Preparación Examen de Carácter Complexivo</x:v>
      </x:c>
      <x:c r="P99" s="26" t="n">
        <x:v>1</x:v>
      </x:c>
      <x:c r="Q99" s="32" t="n">
        <x:f>P99/135</x:f>
        <x:v>0.007407407407407408</x:v>
      </x:c>
      <x:c r="R99" s="32" t="n">
        <x:f>IF(J99=0,"",Q99/J99)</x:f>
        <x:v>1.333333333333333</x:v>
      </x:c>
      <x:c r="S99" s="33" t="n">
        <x:v>83.33333333333334</x:v>
      </x:c>
      <x:c r="T99" s="26" t="str">
        <x:v>E4 Integración/especialización</x:v>
      </x:c>
      <x:c r="U99" s="26" t="str">
        <x:v>N3</x:v>
      </x:c>
      <x:c r="V99" s="26" t="str"/>
      <x:c r="W99" s="26" t="str"/>
      <x:c r="X99" s="26" t="str"/>
      <x:c r="Y99" s="26" t="str"/>
      <x:c r="Z99" s="26" t="str">
        <x:v>COBERTURA_PRESENTE_PERO_INSUFICIENTE/ACTUALIZAR</x:v>
      </x:c>
      <x:c r="AA99" s="26" t="str">
        <x:v>REFORZAR</x:v>
      </x:c>
      <x:c r="AB99" s="26" t="str">
        <x:v>Media</x:v>
      </x:c>
      <x:c r="AC99" s="26" t="str">
        <x:v>La familia ya está en la malla, pero graduados/empleadores o el perfil actualizado demandan mayor profundidad, práctica o actualidad.</x:v>
      </x:c>
    </x:row>
    <x:row r="100">
      <x:c r="A100" s="26" t="str">
        <x:v>A15</x:v>
      </x:c>
      <x:c r="B100" s="26" t="str">
        <x:v>Integración Profesional, Proyectos, Prácticas y Titulación</x:v>
      </x:c>
      <x:c r="C100" s="26" t="str">
        <x:v>F1502</x:v>
      </x:c>
      <x:c r="D100" s="26" t="str">
        <x:v>Proyecto integrador / capstone</x:v>
      </x:c>
      <x:c r="E100" s="32" t="n">
        <x:v>0</x:v>
      </x:c>
      <x:c r="F100" s="32" t="n">
        <x:v>0</x:v>
      </x:c>
      <x:c r="G100" s="32" t="n">
        <x:v>0.2857142857142857</x:v>
      </x:c>
      <x:c r="H100" s="26" t="str">
        <x:v>Baja prevalencia</x:v>
      </x:c>
      <x:c r="I100" s="26" t="str"/>
      <x:c r="J100" s="32" t="n">
        <x:v>0</x:v>
      </x:c>
      <x:c r="K100" s="33"/>
      <x:c r="L100" s="26" t="str">
        <x:v>NR</x:v>
      </x:c>
      <x:c r="M100" s="26" t="str">
        <x:v>NR</x:v>
      </x:c>
      <x:c r="N100" s="26" t="str">
        <x:v>CORE_PRINCIPAL</x:v>
      </x:c>
      <x:c r="O100" s="26" t="str">
        <x:v>TITD201 Trabajo de Integración Curricular / Examen de Carácter Complexivo</x:v>
      </x:c>
      <x:c r="P100" s="26" t="n">
        <x:v>5</x:v>
      </x:c>
      <x:c r="Q100" s="32" t="n">
        <x:f>P100/135</x:f>
        <x:v>0.037037037037037035</x:v>
      </x:c>
      <x:c r="R100" s="32" t="str">
        <x:f>IF(J100=0,"",Q100/J100)</x:f>
      </x:c>
      <x:c r="S100" s="33" t="n">
        <x:v>94.44444444444444</x:v>
      </x:c>
      <x:c r="T100" s="26" t="str">
        <x:v>E4 Integración/especialización</x:v>
      </x:c>
      <x:c r="U100" s="26" t="str">
        <x:v>N3</x:v>
      </x:c>
      <x:c r="V100" s="26" t="str"/>
      <x:c r="W100" s="26" t="str"/>
      <x:c r="X100" s="26" t="str"/>
      <x:c r="Y100" s="26" t="str"/>
      <x:c r="Z100" s="26" t="str">
        <x:v>COBERTURA_PRESENTE_PERO_INSUFICIENTE/ACTUALIZAR</x:v>
      </x:c>
      <x:c r="AA100" s="26" t="str">
        <x:v>REFORZAR</x:v>
      </x:c>
      <x:c r="AB100" s="26" t="str">
        <x:v>Media</x:v>
      </x:c>
      <x:c r="AC100" s="26" t="str">
        <x:v>La familia ya está en la malla, pero graduados/empleadores o el perfil actualizado demandan mayor profundidad, práctica o actualidad.</x:v>
      </x:c>
    </x:row>
    <x:row r="101">
      <x:c r="A101" s="26" t="str">
        <x:v>A15</x:v>
      </x:c>
      <x:c r="B101" s="26" t="str">
        <x:v>Integración Profesional, Proyectos, Prácticas y Titulación</x:v>
      </x:c>
      <x:c r="C101" s="26" t="str">
        <x:v>F1503</x:v>
      </x:c>
      <x:c r="D101" s="26" t="str">
        <x:v>Trabajo Fin de Grado / Bachelor thesis</x:v>
      </x:c>
      <x:c r="E101" s="32" t="n">
        <x:v>0.6923076923076923</x:v>
      </x:c>
      <x:c r="F101" s="32" t="n">
        <x:v>0.6923076923076923</x:v>
      </x:c>
      <x:c r="G101" s="32" t="n">
        <x:v>0</x:v>
      </x:c>
      <x:c r="H101" s="26" t="str">
        <x:v>Consolidada</x:v>
      </x:c>
      <x:c r="I101" s="26" t="str"/>
      <x:c r="J101" s="32" t="n">
        <x:v>0.03587962962962962</x:v>
      </x:c>
      <x:c r="K101" s="33" t="n">
        <x:v>91.66666666666666</x:v>
      </x:c>
      <x:c r="L101" s="26" t="str">
        <x:v>E4 Integración/especialización</x:v>
      </x:c>
      <x:c r="M101" s="26" t="str">
        <x:v>N3</x:v>
      </x:c>
      <x:c r="N101" s="26" t="str">
        <x:v>CORE_SECUNDARIA</x:v>
      </x:c>
      <x:c r="O101" s="26" t="str">
        <x:v>TITD201 Trabajo de Integración Curricular / Examen de Carácter Complexivo</x:v>
      </x:c>
      <x:c r="P101" s="26" t="n">
        <x:v>0</x:v>
      </x:c>
      <x:c r="Q101" s="32" t="n">
        <x:f>P101/135</x:f>
        <x:v>0</x:v>
      </x:c>
      <x:c r="R101" s="32" t="n">
        <x:f>IF(J101=0,"",Q101/J101)</x:f>
        <x:v>0</x:v>
      </x:c>
      <x:c r="S101" s="33" t="n">
        <x:v>94.44444444444444</x:v>
      </x:c>
      <x:c r="T101" s="26" t="str">
        <x:v>E4 Integración/especialización</x:v>
      </x:c>
      <x:c r="U101" s="26" t="str">
        <x:v>N3</x:v>
      </x:c>
      <x:c r="V101" s="26" t="str"/>
      <x:c r="W101" s="26" t="str"/>
      <x:c r="X101" s="26" t="str"/>
      <x:c r="Y101" s="26" t="str"/>
      <x:c r="Z101" s="26" t="str">
        <x:v>COBERTURA_SECUNDARIA/IMPLÍCITA</x:v>
      </x:c>
      <x:c r="AA101" s="26" t="str">
        <x:v>REFORZAR</x:v>
      </x:c>
      <x:c r="AB101" s="26" t="str">
        <x:v>Media</x:v>
      </x:c>
      <x:c r="AC101" s="26" t="str">
        <x:v>Asegurar evidencia de integración/diseño para todos los estudiantes, incluso cuando la modalidad de culminación sea examen complexivo.</x:v>
      </x:c>
    </x:row>
    <x:row r="102">
      <x:c r="A102" s="26" t="str">
        <x:v>A15</x:v>
      </x:c>
      <x:c r="B102" s="26" t="str">
        <x:v>Integración Profesional, Proyectos, Prácticas y Titulación</x:v>
      </x:c>
      <x:c r="C102" s="26" t="str">
        <x:v>F1504</x:v>
      </x:c>
      <x:c r="D102" s="26" t="str">
        <x:v>Tesis / mémoire de investigación</x:v>
      </x:c>
      <x:c r="E102" s="32" t="n">
        <x:v>0</x:v>
      </x:c>
      <x:c r="F102" s="32" t="n">
        <x:v>0</x:v>
      </x:c>
      <x:c r="G102" s="32" t="n">
        <x:v>0</x:v>
      </x:c>
      <x:c r="H102" s="26" t="str">
        <x:v>Baja prevalencia</x:v>
      </x:c>
      <x:c r="I102" s="26" t="str"/>
      <x:c r="J102" s="32" t="n">
        <x:v>0</x:v>
      </x:c>
      <x:c r="K102" s="33"/>
      <x:c r="L102" s="26" t="str">
        <x:v>NR</x:v>
      </x:c>
      <x:c r="M102" s="26" t="str">
        <x:v>NR</x:v>
      </x:c>
      <x:c r="N102" s="26" t="str">
        <x:v>AUSENTE</x:v>
      </x:c>
      <x:c r="O102" s="26" t="str"/>
      <x:c r="P102" s="26" t="n">
        <x:v>0</x:v>
      </x:c>
      <x:c r="Q102" s="32" t="n">
        <x:f>P102/135</x:f>
        <x:v>0</x:v>
      </x:c>
      <x:c r="R102" s="32" t="str">
        <x:f>IF(J102=0,"",Q102/J102)</x:f>
      </x:c>
      <x:c r="S102" s="33"/>
      <x:c r="T102" s="26" t="str">
        <x:v>NR</x:v>
      </x:c>
      <x:c r="U102" s="26" t="str">
        <x:v>NR</x:v>
      </x:c>
      <x:c r="V102" s="26" t="str"/>
      <x:c r="W102" s="26" t="str"/>
      <x:c r="X102" s="26" t="str"/>
      <x:c r="Y102" s="26" t="str"/>
      <x:c r="Z102" s="26" t="str">
        <x:v>AUSENCIA</x:v>
      </x:c>
      <x:c r="AA102" s="26" t="str">
        <x:v>NO PRIORIZAR</x:v>
      </x:c>
      <x:c r="AB102" s="26" t="str">
        <x:v>Baja</x:v>
      </x:c>
      <x:c r="AC102" s="26" t="str">
        <x:v>Ausencia sin suficiente evidencia internacional + EPN para justificar una nueva materia en esta fase.</x:v>
      </x:c>
    </x:row>
    <x:row r="103">
      <x:c r="A103" s="26" t="str">
        <x:v>A15</x:v>
      </x:c>
      <x:c r="B103" s="26" t="str">
        <x:v>Integración Profesional, Proyectos, Prácticas y Titulación</x:v>
      </x:c>
      <x:c r="C103" s="26" t="str">
        <x:v>F1505</x:v>
      </x:c>
      <x:c r="D103" s="26" t="str">
        <x:v>Práctica externa / internship / stage</x:v>
      </x:c>
      <x:c r="E103" s="32" t="n">
        <x:v>0.6153846153846154</x:v>
      </x:c>
      <x:c r="F103" s="32" t="n">
        <x:v>0.5384615384615384</x:v>
      </x:c>
      <x:c r="G103" s="32" t="n">
        <x:v>0.7142857142857143</x:v>
      </x:c>
      <x:c r="H103" s="26" t="str">
        <x:v>Consolidada</x:v>
      </x:c>
      <x:c r="I103" s="26" t="str"/>
      <x:c r="J103" s="32" t="n">
        <x:v>0.027314814814814816</x:v>
      </x:c>
      <x:c r="K103" s="33" t="n">
        <x:v>91.66666666666666</x:v>
      </x:c>
      <x:c r="L103" s="26" t="str">
        <x:v>E4 Integración/especialización</x:v>
      </x:c>
      <x:c r="M103" s="26" t="str">
        <x:v>NR</x:v>
      </x:c>
      <x:c r="N103" s="26" t="str">
        <x:v>CORE_PRINCIPAL</x:v>
      </x:c>
      <x:c r="O103" s="26" t="str">
        <x:v>PRLD105 Prácticas Laborales</x:v>
      </x:c>
      <x:c r="P103" s="26" t="n">
        <x:v>5</x:v>
      </x:c>
      <x:c r="Q103" s="32" t="n">
        <x:f>P103/135</x:f>
        <x:v>0.037037037037037035</x:v>
      </x:c>
      <x:c r="R103" s="32" t="n">
        <x:f>IF(J103=0,"",Q103/J103)</x:f>
        <x:v>1.3559322033898304</x:v>
      </x:c>
      <x:c r="S103" s="33" t="n">
        <x:v>94.44444444444444</x:v>
      </x:c>
      <x:c r="T103" s="26" t="str">
        <x:v>E4 Integración/especialización</x:v>
      </x:c>
      <x:c r="U103" s="26" t="str">
        <x:v>N3</x:v>
      </x:c>
      <x:c r="V103" s="26" t="str"/>
      <x:c r="W103" s="26" t="str"/>
      <x:c r="X103" s="26" t="str">
        <x:v>S07; S11</x:v>
      </x:c>
      <x:c r="Y103" s="26" t="str">
        <x:v>Muy alta</x:v>
      </x:c>
      <x:c r="Z103" s="26" t="str">
        <x:v>COBERTURA_PRESENTE_PERO_INSUFICIENTE/ACTUALIZAR</x:v>
      </x:c>
      <x:c r="AA103" s="26" t="str">
        <x:v>REFORZAR</x:v>
      </x:c>
      <x:c r="AB103" s="26" t="str">
        <x:v>Muy alta</x:v>
      </x:c>
      <x:c r="AC103" s="26" t="str">
        <x:v>Mantener prácticas laborales y ampliar duración, calidad de experiencia, proyectos reales y articulación con empresas.</x:v>
      </x:c>
    </x:row>
    <x:row r="104">
      <x:c r="A104" s="26" t="str">
        <x:v>A15</x:v>
      </x:c>
      <x:c r="B104" s="26" t="str">
        <x:v>Integración Profesional, Proyectos, Prácticas y Titulación</x:v>
      </x:c>
      <x:c r="C104" s="26" t="str">
        <x:v>F1506</x:v>
      </x:c>
      <x:c r="D104" s="26" t="str">
        <x:v>Stage final / misión de ingeniero</x:v>
      </x:c>
      <x:c r="E104" s="32" t="n">
        <x:v>0</x:v>
      </x:c>
      <x:c r="F104" s="32" t="n">
        <x:v>0</x:v>
      </x:c>
      <x:c r="G104" s="32" t="n">
        <x:v>0.5714285714285714</x:v>
      </x:c>
      <x:c r="H104" s="26" t="str">
        <x:v>Baja prevalencia</x:v>
      </x:c>
      <x:c r="I104" s="26" t="str"/>
      <x:c r="J104" s="32" t="n">
        <x:v>0</x:v>
      </x:c>
      <x:c r="K104" s="33"/>
      <x:c r="L104" s="26" t="str">
        <x:v>NR</x:v>
      </x:c>
      <x:c r="M104" s="26" t="str">
        <x:v>NR</x:v>
      </x:c>
      <x:c r="N104" s="26" t="str">
        <x:v>AUSENTE</x:v>
      </x:c>
      <x:c r="O104" s="26" t="str"/>
      <x:c r="P104" s="26" t="n">
        <x:v>0</x:v>
      </x:c>
      <x:c r="Q104" s="32" t="n">
        <x:f>P104/135</x:f>
        <x:v>0</x:v>
      </x:c>
      <x:c r="R104" s="32" t="str">
        <x:f>IF(J104=0,"",Q104/J104)</x:f>
      </x:c>
      <x:c r="S104" s="33"/>
      <x:c r="T104" s="26" t="str">
        <x:v>NR</x:v>
      </x:c>
      <x:c r="U104" s="26" t="str">
        <x:v>NR</x:v>
      </x:c>
      <x:c r="V104" s="26" t="str"/>
      <x:c r="W104" s="26" t="str"/>
      <x:c r="X104" s="26" t="str"/>
      <x:c r="Y104" s="26" t="str"/>
      <x:c r="Z104" s="26" t="str">
        <x:v>AUSENCIA</x:v>
      </x:c>
      <x:c r="AA104" s="26" t="str">
        <x:v>NO PRIORIZAR</x:v>
      </x:c>
      <x:c r="AB104" s="26" t="str">
        <x:v>Baja</x:v>
      </x:c>
      <x:c r="AC104" s="26" t="str">
        <x:v>Ausencia sin suficiente evidencia internacional + EPN para justificar una nueva materia en esta fase.</x:v>
      </x:c>
    </x:row>
    <x:row r="105">
      <x:c r="A105" s="26" t="str">
        <x:v>A15</x:v>
      </x:c>
      <x:c r="B105" s="26" t="str">
        <x:v>Integración Profesional, Proyectos, Prácticas y Titulación</x:v>
      </x:c>
      <x:c r="C105" s="26" t="str">
        <x:v>F1507</x:v>
      </x:c>
      <x:c r="D105" s="26" t="str">
        <x:v>Taller / laboratorio integrador / proyecto práctico</x:v>
      </x:c>
      <x:c r="E105" s="32" t="n">
        <x:v>0.3076923076923077</x:v>
      </x:c>
      <x:c r="F105" s="32" t="n">
        <x:v>0.3076923076923077</x:v>
      </x:c>
      <x:c r="G105" s="32" t="n">
        <x:v>0.2857142857142857</x:v>
      </x:c>
      <x:c r="H105" s="26" t="str">
        <x:v>Selectiva</x:v>
      </x:c>
      <x:c r="I105" s="26" t="str"/>
      <x:c r="J105" s="32" t="n">
        <x:v>0.010532407407407407</x:v>
      </x:c>
      <x:c r="K105" s="33" t="n">
        <x:v>50</x:v>
      </x:c>
      <x:c r="L105" s="26" t="str">
        <x:v>E2 Fundamentos de ingeniería</x:v>
      </x:c>
      <x:c r="M105" s="26" t="str">
        <x:v>NR</x:v>
      </x:c>
      <x:c r="N105" s="26" t="str">
        <x:v>AUSENTE</x:v>
      </x:c>
      <x:c r="O105" s="26" t="str"/>
      <x:c r="P105" s="26" t="n">
        <x:v>0</x:v>
      </x:c>
      <x:c r="Q105" s="32" t="n">
        <x:f>P105/135</x:f>
        <x:v>0</x:v>
      </x:c>
      <x:c r="R105" s="32" t="n">
        <x:f>IF(J105=0,"",Q105/J105)</x:f>
        <x:v>0</x:v>
      </x:c>
      <x:c r="S105" s="33"/>
      <x:c r="T105" s="26" t="str">
        <x:v>NR</x:v>
      </x:c>
      <x:c r="U105" s="26" t="str">
        <x:v>NR</x:v>
      </x:c>
      <x:c r="V105" s="26" t="str"/>
      <x:c r="W105" s="26" t="str"/>
      <x:c r="X105" s="26" t="str">
        <x:v>S07; S08; S11</x:v>
      </x:c>
      <x:c r="Y105" s="26" t="str">
        <x:v>Muy alta</x:v>
      </x:c>
      <x:c r="Z105" s="26" t="str">
        <x:v>AUSENCIA</x:v>
      </x:c>
      <x:c r="AA105" s="26" t="str">
        <x:v>REFORZAR</x:v>
      </x:c>
      <x:c r="AB105" s="26" t="str">
        <x:v>Muy alta</x:v>
      </x:c>
      <x:c r="AC105" s="26" t="str">
        <x:v>EPN dispone de múltiples laboratorios, pero la retroalimentación pide más práctica; reforzar proyectos/laboratorios integradores y experiencias auténticas.</x:v>
      </x:c>
    </x:row>
    <x:row r="106">
      <x:c r="A106" s="26" t="str">
        <x:v>A15</x:v>
      </x:c>
      <x:c r="B106" s="26" t="str">
        <x:v>Integración Profesional, Proyectos, Prácticas y Titulación</x:v>
      </x:c>
      <x:c r="C106" s="26" t="str">
        <x:v>F1508</x:v>
      </x:c>
      <x:c r="D106" s="26" t="str">
        <x:v>Movilidad y experiencia internacional</x:v>
      </x:c>
      <x:c r="E106" s="32" t="n">
        <x:v>0</x:v>
      </x:c>
      <x:c r="F106" s="32" t="n">
        <x:v>0</x:v>
      </x:c>
      <x:c r="G106" s="32" t="n">
        <x:v>0.42857142857142855</x:v>
      </x:c>
      <x:c r="H106" s="26" t="str">
        <x:v>Baja prevalencia</x:v>
      </x:c>
      <x:c r="I106" s="26" t="str"/>
      <x:c r="J106" s="32" t="n">
        <x:v>0</x:v>
      </x:c>
      <x:c r="K106" s="33"/>
      <x:c r="L106" s="26" t="str">
        <x:v>NR</x:v>
      </x:c>
      <x:c r="M106" s="26" t="str">
        <x:v>NR</x:v>
      </x:c>
      <x:c r="N106" s="26" t="str">
        <x:v>AUSENTE</x:v>
      </x:c>
      <x:c r="O106" s="26" t="str"/>
      <x:c r="P106" s="26" t="n">
        <x:v>0</x:v>
      </x:c>
      <x:c r="Q106" s="32" t="n">
        <x:f>P106/135</x:f>
        <x:v>0</x:v>
      </x:c>
      <x:c r="R106" s="32" t="str">
        <x:f>IF(J106=0,"",Q106/J106)</x:f>
      </x:c>
      <x:c r="S106" s="33"/>
      <x:c r="T106" s="26" t="str">
        <x:v>NR</x:v>
      </x:c>
      <x:c r="U106" s="26" t="str">
        <x:v>NR</x:v>
      </x:c>
      <x:c r="V106" s="26" t="str"/>
      <x:c r="W106" s="26" t="str"/>
      <x:c r="X106" s="26" t="str"/>
      <x:c r="Y106" s="26" t="str"/>
      <x:c r="Z106" s="26" t="str">
        <x:v>AUSENCIA</x:v>
      </x:c>
      <x:c r="AA106" s="26" t="str">
        <x:v>NO PRIORIZAR</x:v>
      </x:c>
      <x:c r="AB106" s="26" t="str">
        <x:v>Baja</x:v>
      </x:c>
      <x:c r="AC106" s="26" t="str">
        <x:v>Ausencia sin suficiente evidencia internacional + EPN para justificar una nueva materia en esta fase.</x:v>
      </x:c>
    </x:row>
    <x:row r="107">
      <x:c r="A107" s="26" t="str">
        <x:v>A16</x:v>
      </x:c>
      <x:c r="B107" s="26" t="str">
        <x:v>Comunicación, Idiomas, Ética y Formación Transversal</x:v>
      </x:c>
      <x:c r="C107" s="26" t="str">
        <x:v>F1601</x:v>
      </x:c>
      <x:c r="D107" s="26" t="str">
        <x:v>Idioma extranjero</x:v>
      </x:c>
      <x:c r="E107" s="32" t="n">
        <x:v>0.3076923076923077</x:v>
      </x:c>
      <x:c r="F107" s="32" t="n">
        <x:v>0.23076923076923078</x:v>
      </x:c>
      <x:c r="G107" s="32" t="n">
        <x:v>0.2857142857142857</x:v>
      </x:c>
      <x:c r="H107" s="26" t="str">
        <x:v>Selectiva</x:v>
      </x:c>
      <x:c r="I107" s="26" t="str"/>
      <x:c r="J107" s="32" t="n">
        <x:v>0.005555555555555556</x:v>
      </x:c>
      <x:c r="K107" s="33" t="n">
        <x:v>33.333333333333336</x:v>
      </x:c>
      <x:c r="L107" s="26" t="str">
        <x:v>E2 Fundamentos de ingeniería</x:v>
      </x:c>
      <x:c r="M107" s="26" t="str">
        <x:v>NR</x:v>
      </x:c>
      <x:c r="N107" s="26" t="str">
        <x:v>REQUISITO_GRADUACION</x:v>
      </x:c>
      <x:c r="O107" s="26" t="str">
        <x:v>IEXD200 Nivel de Suficiencia B1 en el idioma inglés</x:v>
      </x:c>
      <x:c r="P107" s="26" t="n">
        <x:v>0</x:v>
      </x:c>
      <x:c r="Q107" s="32" t="n">
        <x:f>P107/135</x:f>
        <x:v>0</x:v>
      </x:c>
      <x:c r="R107" s="32" t="n">
        <x:f>IF(J107=0,"",Q107/J107)</x:f>
        <x:v>0</x:v>
      </x:c>
      <x:c r="S107" s="33"/>
      <x:c r="T107" s="26" t="str">
        <x:v>NR</x:v>
      </x:c>
      <x:c r="U107" s="26" t="str">
        <x:v>N1</x:v>
      </x:c>
      <x:c r="V107" s="26" t="str"/>
      <x:c r="W107" s="26" t="str">
        <x:v>PP6</x:v>
      </x:c>
      <x:c r="X107" s="26" t="str">
        <x:v>S02</x:v>
      </x:c>
      <x:c r="Y107" s="26" t="str">
        <x:v>Muy alta</x:v>
      </x:c>
      <x:c r="Z107" s="26" t="str">
        <x:v>SOLO_REQUISITO_GRADUACION</x:v>
      </x:c>
      <x:c r="AA107" s="26" t="str">
        <x:v>INTEGRAR</x:v>
      </x:c>
      <x:c r="AB107" s="26" t="str">
        <x:v>Muy alta</x:v>
      </x:c>
      <x:c r="AC107" s="26" t="str">
        <x:v>El B1 como requisito no basta para el perfil propuesto; integrar inglés técnico en asignaturas, informes y presentaciones.</x:v>
      </x:c>
    </x:row>
    <x:row r="108">
      <x:c r="A108" s="26" t="str">
        <x:v>A16</x:v>
      </x:c>
      <x:c r="B108" s="26" t="str">
        <x:v>Comunicación, Idiomas, Ética y Formación Transversal</x:v>
      </x:c>
      <x:c r="C108" s="26" t="str">
        <x:v>F1602</x:v>
      </x:c>
      <x:c r="D108" s="26" t="str">
        <x:v>Comunicación académica y profesional</x:v>
      </x:c>
      <x:c r="E108" s="32" t="n">
        <x:v>0.07692307692307693</x:v>
      </x:c>
      <x:c r="F108" s="32" t="n">
        <x:v>0.07692307692307693</x:v>
      </x:c>
      <x:c r="G108" s="32" t="n">
        <x:v>0</x:v>
      </x:c>
      <x:c r="H108" s="26" t="str">
        <x:v>Baja prevalencia</x:v>
      </x:c>
      <x:c r="I108" s="26" t="str">
        <x:v>Nicho / especialización</x:v>
      </x:c>
      <x:c r="J108" s="32" t="n">
        <x:v>0.0020833333333333333</x:v>
      </x:c>
      <x:c r="K108" s="33" t="n">
        <x:v>81.25</x:v>
      </x:c>
      <x:c r="L108" s="26" t="str">
        <x:v>E4 Integración/especialización</x:v>
      </x:c>
      <x:c r="M108" s="26" t="str">
        <x:v>NR</x:v>
      </x:c>
      <x:c r="N108" s="26" t="str">
        <x:v>CORE_PRINCIPAL + REQUISITO_GRADUACION</x:v>
      </x:c>
      <x:c r="O108" s="26" t="str">
        <x:v>CSHD111 Comunicación Oral y Escrita; CSHD500 Asignatura de Comunicación</x:v>
      </x:c>
      <x:c r="P108" s="26" t="n">
        <x:v>1</x:v>
      </x:c>
      <x:c r="Q108" s="32" t="n">
        <x:f>P108/135</x:f>
        <x:v>0.007407407407407408</x:v>
      </x:c>
      <x:c r="R108" s="32" t="n">
        <x:f>IF(J108=0,"",Q108/J108)</x:f>
        <x:v>3.555555555555556</x:v>
      </x:c>
      <x:c r="S108" s="33" t="n">
        <x:v>5.555555555555555</x:v>
      </x:c>
      <x:c r="T108" s="26" t="str">
        <x:v>E1 Fundamentos</x:v>
      </x:c>
      <x:c r="U108" s="26" t="str">
        <x:v>N1</x:v>
      </x:c>
      <x:c r="V108" s="26" t="str"/>
      <x:c r="W108" s="26" t="str">
        <x:v>PP6</x:v>
      </x:c>
      <x:c r="X108" s="26" t="str">
        <x:v>S02; S09</x:v>
      </x:c>
      <x:c r="Y108" s="26" t="str">
        <x:v>Muy alta</x:v>
      </x:c>
      <x:c r="Z108" s="26" t="str">
        <x:v>COBERTURA_PRESENTE_PERO_INSUFICIENTE/ACTUALIZAR</x:v>
      </x:c>
      <x:c r="AA108" s="26" t="str">
        <x:v>REFORZAR</x:v>
      </x:c>
      <x:c r="AB108" s="26" t="str">
        <x:v>Muy alta</x:v>
      </x:c>
      <x:c r="AC108" s="26" t="str">
        <x:v>Mantener comunicación y reforzarla transversalmente en reportes, presentaciones y proyectos.</x:v>
      </x:c>
    </x:row>
    <x:row r="109">
      <x:c r="A109" s="26" t="str">
        <x:v>A16</x:v>
      </x:c>
      <x:c r="B109" s="26" t="str">
        <x:v>Comunicación, Idiomas, Ética y Formación Transversal</x:v>
      </x:c>
      <x:c r="C109" s="26" t="str">
        <x:v>F1603</x:v>
      </x:c>
      <x:c r="D109" s="26" t="str">
        <x:v>Ética, responsabilidad y desarrollo profesional</x:v>
      </x:c>
      <x:c r="E109" s="32" t="n">
        <x:v>0.15384615384615385</x:v>
      </x:c>
      <x:c r="F109" s="32" t="n">
        <x:v>0.07692307692307693</x:v>
      </x:c>
      <x:c r="G109" s="32" t="n">
        <x:v>0.7142857142857143</x:v>
      </x:c>
      <x:c r="H109" s="26" t="str">
        <x:v>Baja prevalencia</x:v>
      </x:c>
      <x:c r="I109" s="26" t="str">
        <x:v>Nicho / especialización</x:v>
      </x:c>
      <x:c r="J109" s="32" t="n">
        <x:v>0.001851851851851852</x:v>
      </x:c>
      <x:c r="K109" s="33" t="n">
        <x:v>33.333333333333336</x:v>
      </x:c>
      <x:c r="L109" s="26" t="str">
        <x:v>E2 Fundamentos de ingeniería</x:v>
      </x:c>
      <x:c r="M109" s="26" t="str">
        <x:v>NR</x:v>
      </x:c>
      <x:c r="N109" s="26" t="str">
        <x:v>AUSENTE</x:v>
      </x:c>
      <x:c r="O109" s="26" t="str"/>
      <x:c r="P109" s="26" t="n">
        <x:v>0</x:v>
      </x:c>
      <x:c r="Q109" s="32" t="n">
        <x:f>P109/135</x:f>
        <x:v>0</x:v>
      </x:c>
      <x:c r="R109" s="32" t="n">
        <x:f>IF(J109=0,"",Q109/J109)</x:f>
        <x:v>0</x:v>
      </x:c>
      <x:c r="S109" s="33"/>
      <x:c r="T109" s="26" t="str">
        <x:v>NR</x:v>
      </x:c>
      <x:c r="U109" s="26" t="str">
        <x:v>NR</x:v>
      </x:c>
      <x:c r="V109" s="26" t="str"/>
      <x:c r="W109" s="26" t="str">
        <x:v>PP6</x:v>
      </x:c>
      <x:c r="X109" s="26" t="str">
        <x:v>S09; S10</x:v>
      </x:c>
      <x:c r="Y109" s="26" t="str">
        <x:v>Muy alta</x:v>
      </x:c>
      <x:c r="Z109" s="26" t="str">
        <x:v>AUSENCIA</x:v>
      </x:c>
      <x:c r="AA109" s="26" t="str">
        <x:v>INTEGRAR</x:v>
      </x:c>
      <x:c r="AB109" s="26" t="str">
        <x:v>Muy alta</x:v>
      </x:c>
      <x:c r="AC109" s="26" t="str">
        <x:v>La ética está en el objetivo/perfil; convertirla en resultados evaluables dentro de proyectos, prácticas, calidad y sostenibilidad.</x:v>
      </x:c>
    </x:row>
    <x:row r="110">
      <x:c r="A110" s="26" t="str">
        <x:v>A16</x:v>
      </x:c>
      <x:c r="B110" s="26" t="str">
        <x:v>Comunicación, Idiomas, Ética y Formación Transversal</x:v>
      </x:c>
      <x:c r="C110" s="26" t="str">
        <x:v>F1604</x:v>
      </x:c>
      <x:c r="D110" s="26" t="str">
        <x:v>Propiedad intelectual y regulación profesional general</x:v>
      </x:c>
      <x:c r="E110" s="32" t="n">
        <x:v>0.07692307692307693</x:v>
      </x:c>
      <x:c r="F110" s="32" t="n">
        <x:v>0</x:v>
      </x:c>
      <x:c r="G110" s="32" t="n">
        <x:v>0</x:v>
      </x:c>
      <x:c r="H110" s="26" t="str">
        <x:v>Baja prevalencia</x:v>
      </x:c>
      <x:c r="I110" s="26" t="str">
        <x:v>Nicho / especialización</x:v>
      </x:c>
      <x:c r="J110" s="32" t="n">
        <x:v>0</x:v>
      </x:c>
      <x:c r="K110" s="33" t="n">
        <x:v>41.66666666666667</x:v>
      </x:c>
      <x:c r="L110" s="26" t="str">
        <x:v>E2 Fundamentos de ingeniería</x:v>
      </x:c>
      <x:c r="M110" s="26" t="str">
        <x:v>NR</x:v>
      </x:c>
      <x:c r="N110" s="26" t="str">
        <x:v>AUSENTE</x:v>
      </x:c>
      <x:c r="O110" s="26" t="str"/>
      <x:c r="P110" s="26" t="n">
        <x:v>0</x:v>
      </x:c>
      <x:c r="Q110" s="32" t="n">
        <x:f>P110/135</x:f>
        <x:v>0</x:v>
      </x:c>
      <x:c r="R110" s="32" t="str">
        <x:f>IF(J110=0,"",Q110/J110)</x:f>
      </x:c>
      <x:c r="S110" s="33"/>
      <x:c r="T110" s="26" t="str">
        <x:v>NR</x:v>
      </x:c>
      <x:c r="U110" s="26" t="str">
        <x:v>NR</x:v>
      </x:c>
      <x:c r="V110" s="26" t="str"/>
      <x:c r="W110" s="26" t="str"/>
      <x:c r="X110" s="26" t="str"/>
      <x:c r="Y110" s="26" t="str"/>
      <x:c r="Z110" s="26" t="str">
        <x:v>AUSENCIA</x:v>
      </x:c>
      <x:c r="AA110" s="26" t="str">
        <x:v>NO PRIORIZAR</x:v>
      </x:c>
      <x:c r="AB110" s="26" t="str">
        <x:v>Baja</x:v>
      </x:c>
      <x:c r="AC110" s="26" t="str">
        <x:v>Ausencia sin suficiente evidencia internacional + EPN para justificar una nueva materia en esta fase.</x:v>
      </x:c>
    </x:row>
    <x:row r="111">
      <x:c r="A111" s="26" t="str">
        <x:v>A16</x:v>
      </x:c>
      <x:c r="B111" s="26" t="str">
        <x:v>Comunicación, Idiomas, Ética y Formación Transversal</x:v>
      </x:c>
      <x:c r="C111" s="26" t="str">
        <x:v>F1605</x:v>
      </x:c>
      <x:c r="D111" s="26" t="str">
        <x:v>Documentación y alfabetización informacional</x:v>
      </x:c>
      <x:c r="E111" s="32" t="n">
        <x:v>0</x:v>
      </x:c>
      <x:c r="F111" s="32" t="n">
        <x:v>0</x:v>
      </x:c>
      <x:c r="G111" s="32" t="n">
        <x:v>0.14285714285714285</x:v>
      </x:c>
      <x:c r="H111" s="26" t="str">
        <x:v>Baja prevalencia</x:v>
      </x:c>
      <x:c r="I111" s="26" t="str"/>
      <x:c r="J111" s="32" t="n">
        <x:v>0</x:v>
      </x:c>
      <x:c r="K111" s="33"/>
      <x:c r="L111" s="26" t="str">
        <x:v>NR</x:v>
      </x:c>
      <x:c r="M111" s="26" t="str">
        <x:v>NR</x:v>
      </x:c>
      <x:c r="N111" s="26" t="str">
        <x:v>AUSENTE</x:v>
      </x:c>
      <x:c r="O111" s="26" t="str"/>
      <x:c r="P111" s="26" t="n">
        <x:v>0</x:v>
      </x:c>
      <x:c r="Q111" s="32" t="n">
        <x:f>P111/135</x:f>
        <x:v>0</x:v>
      </x:c>
      <x:c r="R111" s="32" t="str">
        <x:f>IF(J111=0,"",Q111/J111)</x:f>
      </x:c>
      <x:c r="S111" s="33"/>
      <x:c r="T111" s="26" t="str">
        <x:v>NR</x:v>
      </x:c>
      <x:c r="U111" s="26" t="str">
        <x:v>NR</x:v>
      </x:c>
      <x:c r="V111" s="26" t="str"/>
      <x:c r="W111" s="26" t="str"/>
      <x:c r="X111" s="26" t="str"/>
      <x:c r="Y111" s="26" t="str"/>
      <x:c r="Z111" s="26" t="str">
        <x:v>AUSENCIA</x:v>
      </x:c>
      <x:c r="AA111" s="26" t="str">
        <x:v>NO PRIORIZAR</x:v>
      </x:c>
      <x:c r="AB111" s="26" t="str">
        <x:v>Baja</x:v>
      </x:c>
      <x:c r="AC111" s="26" t="str">
        <x:v>Ausencia sin suficiente evidencia internacional + EPN para justificar una nueva materia en esta fase.</x:v>
      </x:c>
    </x:row>
    <x:row r="112">
      <x:c r="A112" s="26" t="str">
        <x:v>A16</x:v>
      </x:c>
      <x:c r="B112" s="26" t="str">
        <x:v>Comunicación, Idiomas, Ética y Formación Transversal</x:v>
      </x:c>
      <x:c r="C112" s="26" t="str">
        <x:v>F1606</x:v>
      </x:c>
      <x:c r="D112" s="26" t="str">
        <x:v>Humanidades, deporte y formación general</x:v>
      </x:c>
      <x:c r="E112" s="32" t="n">
        <x:v>0.07692307692307693</x:v>
      </x:c>
      <x:c r="F112" s="32" t="n">
        <x:v>0</x:v>
      </x:c>
      <x:c r="G112" s="32" t="n">
        <x:v>0</x:v>
      </x:c>
      <x:c r="H112" s="26" t="str">
        <x:v>Baja prevalencia</x:v>
      </x:c>
      <x:c r="I112" s="26" t="str">
        <x:v>Nicho / especialización</x:v>
      </x:c>
      <x:c r="J112" s="32" t="n">
        <x:v>0</x:v>
      </x:c>
      <x:c r="K112" s="33" t="n">
        <x:v>91.66666666666666</x:v>
      </x:c>
      <x:c r="L112" s="26" t="str">
        <x:v>E4 Integración/especialización</x:v>
      </x:c>
      <x:c r="M112" s="26" t="str">
        <x:v>N1</x:v>
      </x:c>
      <x:c r="N112" s="26" t="str">
        <x:v>CORE_PRINCIPAL + CORE_SECUNDARIA + REQUISITO_GRADUACION</x:v>
      </x:c>
      <x:c r="O112" s="26" t="str">
        <x:v>CSHD300 Asignatura de Artes y Humanidades; CSHD211 Análisis Socioeconómico y Político del Ecuador; CSHD400 Asignatura de Economía y Sociedad; DEPD110 Deportes; SOCD210 Clubes</x:v>
      </x:c>
      <x:c r="P112" s="26" t="n">
        <x:v>1</x:v>
      </x:c>
      <x:c r="Q112" s="32" t="n">
        <x:f>P112/135</x:f>
        <x:v>0.007407407407407408</x:v>
      </x:c>
      <x:c r="R112" s="32" t="str">
        <x:f>IF(J112=0,"",Q112/J112)</x:f>
      </x:c>
      <x:c r="S112" s="33" t="n">
        <x:v>61.111111111111114</x:v>
      </x:c>
      <x:c r="T112" s="26" t="str">
        <x:v>E3 Formación profesional</x:v>
      </x:c>
      <x:c r="U112" s="26" t="str">
        <x:v>N1</x:v>
      </x:c>
      <x:c r="V112" s="26" t="str"/>
      <x:c r="W112" s="26" t="str"/>
      <x:c r="X112" s="26" t="str"/>
      <x:c r="Y112" s="26" t="str"/>
      <x:c r="Z112" s="26" t="str">
        <x:v>CUBIERTA</x:v>
      </x:c>
      <x:c r="AA112" s="26" t="str">
        <x:v>MANTENER</x:v>
      </x:c>
      <x:c r="AB112" s="26" t="str">
        <x:v>Media</x:v>
      </x:c>
      <x:c r="AC112" s="26" t="str">
        <x:v>Cobertura explícita en la malla EPN y sin brecha prioritaria suficiente para justificar aumento de carga.</x:v>
      </x:c>
    </x:row>
  </x:sheetData>
  <x:conditionalFormatting sqref="AA2:AA112">
    <x:cfRule type="expression" dxfId="0" priority="1">
      <x:formula>AA2="AÑADIR"</x:formula>
    </x:cfRule>
    <x:cfRule type="expression" dxfId="1" priority="2">
      <x:formula>AA2="REFORZAR"</x:formula>
    </x:cfRule>
  </x:conditionalFormatting>
  <x:conditionalFormatting sqref="AB2:AB112">
    <x:cfRule type="expression" dxfId="2" priority="3">
      <x:formula>OR(AB2="Crítica",AB2="Muy alta")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  <x:col min="15" max="15" width="52" hidden="0" customWidth="1"/>
    <x:col min="16" max="16" width="52" hidden="0" customWidth="1"/>
  </x:cols>
  <x:sheetData>
    <x:row r="1">
      <x:c r="A1" s="14" t="str">
        <x:v>Prioridad</x:v>
      </x:c>
      <x:c r="B1" s="14" t="str">
        <x:v>Accion</x:v>
      </x:c>
      <x:c r="C1" s="14" t="str">
        <x:v>ID_Familia</x:v>
      </x:c>
      <x:c r="D1" s="14" t="str">
        <x:v>Familia</x:v>
      </x:c>
      <x:c r="E1" s="14" t="str">
        <x:v>Benchmark_Core_pct</x:v>
      </x:c>
      <x:c r="F1" s="14" t="str">
        <x:v>Estatus_Benchmark</x:v>
      </x:c>
      <x:c r="G1" s="14" t="str">
        <x:v>Senal_Emergente</x:v>
      </x:c>
      <x:c r="H1" s="14" t="str">
        <x:v>Estado_EPN</x:v>
      </x:c>
      <x:c r="I1" s="14" t="str">
        <x:v>Creditos_Core_EPN</x:v>
      </x:c>
      <x:c r="J1" s="14" t="str">
        <x:v>Peso_EPN_pct</x:v>
      </x:c>
      <x:c r="K1" s="14" t="str">
        <x:v>Asignaturas_Soporte</x:v>
      </x:c>
      <x:c r="L1" s="14" t="str">
        <x:v>Stakeholders</x:v>
      </x:c>
      <x:c r="M1" s="14" t="str">
        <x:v>Perfil_2026_DERIVADO</x:v>
      </x:c>
      <x:c r="N1" s="14" t="str">
        <x:v>Tipo_Brecha</x:v>
      </x:c>
      <x:c r="O1" s="14" t="str">
        <x:v>Justificacion</x:v>
      </x:c>
      <x:c r="P1" s="14" t="str">
        <x:v>Condicion_antes_de_decidir</x:v>
      </x:c>
    </x:row>
    <x:row r="2">
      <x:c r="A2" s="26" t="str">
        <x:v>Crítica</x:v>
      </x:c>
      <x:c r="B2" s="26" t="str">
        <x:v>INTEGRAR</x:v>
      </x:c>
      <x:c r="C2" s="26" t="str">
        <x:v>F0906</x:v>
      </x:c>
      <x:c r="D2" s="26" t="str">
        <x:v>Robótica, digitalización e Industria 4.0</x:v>
      </x:c>
      <x:c r="E2" s="32" t="n">
        <x:v>0.23076923076923078</x:v>
      </x:c>
      <x:c r="F2" s="26" t="str">
        <x:v>Baja prevalencia</x:v>
      </x:c>
      <x:c r="G2" s="26" t="str">
        <x:v>Emergente en grado</x:v>
      </x:c>
      <x:c r="H2" s="26" t="str">
        <x:v>AUSENTE</x:v>
      </x:c>
      <x:c r="I2" s="26" t="n">
        <x:v>0</x:v>
      </x:c>
      <x:c r="J2" s="32" t="n">
        <x:v>0</x:v>
      </x:c>
      <x:c r="K2" s="26" t="str"/>
      <x:c r="L2" s="26" t="str">
        <x:v>S01; S12</x:v>
      </x:c>
      <x:c r="M2" s="26" t="str">
        <x:v>PP2; PP4; CPIA3; CPIA4; CPIA5</x:v>
      </x:c>
      <x:c r="N2" s="26" t="str">
        <x:v>AUSENCIA</x:v>
      </x:c>
      <x:c r="O2" s="26" t="str">
        <x:v>Integrar digitalización/Industria 4.0 en Programación, Simulación, Automatización y Diseño de Plantas.</x:v>
      </x:c>
      <x:c r="P2" s="26" t="str">
        <x:v>Revisar PEA/guías vigentes si la decisión implica fusión, sustitución o eliminación; la ausencia documental de contenidos no se interpreta como ausencia real.</x:v>
      </x:c>
    </x:row>
    <x:row r="3">
      <x:c r="A3" s="26" t="str">
        <x:v>Crítica</x:v>
      </x:c>
      <x:c r="B3" s="26" t="str">
        <x:v>INTEGRAR</x:v>
      </x:c>
      <x:c r="C3" s="26" t="str">
        <x:v>F1102</x:v>
      </x:c>
      <x:c r="D3" s="26" t="str">
        <x:v>Análisis de ciclo de vida y ecodiseño</x:v>
      </x:c>
      <x:c r="E3" s="32" t="n">
        <x:v>0.15384615384615385</x:v>
      </x:c>
      <x:c r="F3" s="26" t="str">
        <x:v>Baja prevalencia</x:v>
      </x:c>
      <x:c r="G3" s="26" t="str">
        <x:v>Emergente en grado</x:v>
      </x:c>
      <x:c r="H3" s="26" t="str">
        <x:v>AUSENTE</x:v>
      </x:c>
      <x:c r="I3" s="26" t="n">
        <x:v>0</x:v>
      </x:c>
      <x:c r="J3" s="32" t="n">
        <x:v>0</x:v>
      </x:c>
      <x:c r="K3" s="26" t="str"/>
      <x:c r="L3" s="26" t="str">
        <x:v>S03; S12</x:v>
      </x:c>
      <x:c r="M3" s="26" t="str">
        <x:v>PP2; CPIA3</x:v>
      </x:c>
      <x:c r="N3" s="26" t="str">
        <x:v>AUSENCIA</x:v>
      </x:c>
      <x:c r="O3" s="26" t="str">
        <x:v>Integrar ACV/ecodiseño en Impacto Ambiental, Diseño de Plantas, innovación y proyectos.</x:v>
      </x:c>
      <x:c r="P3" s="26" t="str">
        <x:v>Revisar PEA/guías vigentes si la decisión implica fusión, sustitución o eliminación; la ausencia documental de contenidos no se interpreta como ausencia real.</x:v>
      </x:c>
    </x:row>
    <x:row r="4">
      <x:c r="A4" s="26" t="str">
        <x:v>Crítica</x:v>
      </x:c>
      <x:c r="B4" s="26" t="str">
        <x:v>INTEGRAR</x:v>
      </x:c>
      <x:c r="C4" s="26" t="str">
        <x:v>F1105</x:v>
      </x:c>
      <x:c r="D4" s="26" t="str">
        <x:v>Sostenibilidad y economía circular</x:v>
      </x:c>
      <x:c r="E4" s="32" t="n">
        <x:v>0.07692307692307693</x:v>
      </x:c>
      <x:c r="F4" s="26" t="str">
        <x:v>Baja prevalencia</x:v>
      </x:c>
      <x:c r="G4" s="26" t="str">
        <x:v>Emergente desde nivel avanzado</x:v>
      </x:c>
      <x:c r="H4" s="26" t="str">
        <x:v>REQUISITO_GRADUACION</x:v>
      </x:c>
      <x:c r="I4" s="26" t="n">
        <x:v>0</x:v>
      </x:c>
      <x:c r="J4" s="32" t="n">
        <x:v>0</x:v>
      </x:c>
      <x:c r="K4" s="26" t="str">
        <x:v>AGRD600 Agricultura Ecológica</x:v>
      </x:c>
      <x:c r="L4" s="26" t="str">
        <x:v>S03; S12</x:v>
      </x:c>
      <x:c r="M4" s="26" t="str">
        <x:v>PP2; PP4; PP5; CPIA2; CPIA3; CPIA4; CPIA5</x:v>
      </x:c>
      <x:c r="N4" s="26" t="str">
        <x:v>SOLO_REQUISITO_GRADUACION</x:v>
      </x:c>
      <x:c r="O4" s="26" t="str">
        <x:v>Sostenibilidad y economía circular deben ser eje transversal y evaluable, no solo una asignatura aislada.</x:v>
      </x:c>
      <x:c r="P4" s="26" t="str">
        <x:v>Revisar PEA/guías vigentes si la decisión implica fusión, sustitución o eliminación; la ausencia documental de contenidos no se interpreta como ausencia real.</x:v>
      </x:c>
    </x:row>
    <x:row r="5">
      <x:c r="A5" s="26" t="str">
        <x:v>Crítica</x:v>
      </x:c>
      <x:c r="B5" s="26" t="str">
        <x:v>INTEGRAR</x:v>
      </x:c>
      <x:c r="C5" s="26" t="str">
        <x:v>F0108</x:v>
      </x:c>
      <x:c r="D5" s="26" t="str">
        <x:v>Ciencia de datos, IA y analítica</x:v>
      </x:c>
      <x:c r="E5" s="32" t="n">
        <x:v>0</x:v>
      </x:c>
      <x:c r="F5" s="26" t="str">
        <x:v>Baja prevalencia</x:v>
      </x:c>
      <x:c r="G5" s="26" t="str">
        <x:v>Emergente desde nivel avanzado</x:v>
      </x:c>
      <x:c r="H5" s="26" t="str">
        <x:v>AUSENTE</x:v>
      </x:c>
      <x:c r="I5" s="26" t="n">
        <x:v>0</x:v>
      </x:c>
      <x:c r="J5" s="32" t="n">
        <x:v>0</x:v>
      </x:c>
      <x:c r="K5" s="26" t="str"/>
      <x:c r="L5" s="26" t="str">
        <x:v>S01; S12</x:v>
      </x:c>
      <x:c r="M5" s="26" t="str">
        <x:v>PP3; CPIA1; CPIA2; CPIA4</x:v>
      </x:c>
      <x:c r="N5" s="26" t="str">
        <x:v>AUSENCIA</x:v>
      </x:c>
      <x:c r="O5" s="26" t="str">
        <x:v>Integrar análisis de datos/ML/IA en Estadística, Programación, Simulación y proyectos; evitar crear una materia aislada si puede articularse una secuencia.</x:v>
      </x:c>
      <x:c r="P5" s="26" t="str">
        <x:v>Revisar PEA/guías vigentes si la decisión implica fusión, sustitución o eliminación; la ausencia documental de contenidos no se interpreta como ausencia real.</x:v>
      </x:c>
    </x:row>
    <x:row r="6">
      <x:c r="A6" s="26" t="str">
        <x:v>Muy alta</x:v>
      </x:c>
      <x:c r="B6" s="26" t="str">
        <x:v>AÑADIR</x:v>
      </x:c>
      <x:c r="C6" s="26" t="str">
        <x:v>F0804</x:v>
      </x:c>
      <x:c r="D6" s="26" t="str">
        <x:v>Inocuidad y seguridad alimentaria / HACCP</x:v>
      </x:c>
      <x:c r="E6" s="32" t="n">
        <x:v>0.38461538461538464</x:v>
      </x:c>
      <x:c r="F6" s="26" t="str">
        <x:v>Selectiva</x:v>
      </x:c>
      <x:c r="G6" s="26" t="str"/>
      <x:c r="H6" s="26" t="str">
        <x:v>AUSENTE</x:v>
      </x:c>
      <x:c r="I6" s="26" t="n">
        <x:v>0</x:v>
      </x:c>
      <x:c r="J6" s="32" t="n">
        <x:v>0</x:v>
      </x:c>
      <x:c r="K6" s="26" t="str"/>
      <x:c r="L6" s="26" t="str">
        <x:v>S05</x:v>
      </x:c>
      <x:c r="M6" s="26" t="str">
        <x:v>PP2; PP4; CPIA2; CPIA3</x:v>
      </x:c>
      <x:c r="N6" s="26" t="str">
        <x:v>AUSENCIA</x:v>
      </x:c>
      <x:c r="O6" s="26" t="str">
        <x:v>Inocuidad/HACCP no aparece explícita en la malla central y es prioritaria para perfil, calidad y empleadores. Proponer unidad/asignatura explícita de inocuidad y gestión de riesgos alimentarios.</x:v>
      </x:c>
      <x:c r="P6" s="26" t="str">
        <x:v>Revisar PEA/guías vigentes si la decisión implica fusión, sustitución o eliminación; la ausencia documental de contenidos no se interpreta como ausencia real.</x:v>
      </x:c>
    </x:row>
    <x:row r="7">
      <x:c r="A7" s="26" t="str">
        <x:v>Muy alta</x:v>
      </x:c>
      <x:c r="B7" s="26" t="str">
        <x:v>AÑADIR</x:v>
      </x:c>
      <x:c r="C7" s="26" t="str">
        <x:v>F1401</x:v>
      </x:c>
      <x:c r="D7" s="26" t="str">
        <x:v>Desarrollo e innovación de productos alimentarios</x:v>
      </x:c>
      <x:c r="E7" s="32" t="n">
        <x:v>0.38461538461538464</x:v>
      </x:c>
      <x:c r="F7" s="26" t="str">
        <x:v>Selectiva</x:v>
      </x:c>
      <x:c r="G7" s="26" t="str">
        <x:v>Emergente en grado</x:v>
      </x:c>
      <x:c r="H7" s="26" t="str">
        <x:v>AUSENTE</x:v>
      </x:c>
      <x:c r="I7" s="26" t="n">
        <x:v>0</x:v>
      </x:c>
      <x:c r="J7" s="32" t="n">
        <x:v>0</x:v>
      </x:c>
      <x:c r="K7" s="26" t="str"/>
      <x:c r="L7" s="26" t="str">
        <x:v>S06</x:v>
      </x:c>
      <x:c r="M7" s="26" t="str">
        <x:v>PP2; PP3; CPIA3; CPIA4</x:v>
      </x:c>
      <x:c r="N7" s="26" t="str">
        <x:v>AUSENCIA</x:v>
      </x:c>
      <x:c r="O7" s="26" t="str">
        <x:v>Innovación y desarrollo de producto es tendencia internacional y prioridad local; la malla no tiene una asignatura explícita con ese propósito.</x:v>
      </x:c>
      <x:c r="P7" s="26" t="str">
        <x:v>Revisar PEA/guías vigentes si la decisión implica fusión, sustitución o eliminación; la ausencia documental de contenidos no se interpreta como ausencia real.</x:v>
      </x:c>
    </x:row>
    <x:row r="8">
      <x:c r="A8" s="26" t="str">
        <x:v>Muy alta</x:v>
      </x:c>
      <x:c r="B8" s="26" t="str">
        <x:v>REFORZAR</x:v>
      </x:c>
      <x:c r="C8" s="26" t="str">
        <x:v>F0502</x:v>
      </x:c>
      <x:c r="D8" s="26" t="str">
        <x:v>Operaciones unitarias generales</x:v>
      </x:c>
      <x:c r="E8" s="32" t="n">
        <x:v>0.8461538461538461</x:v>
      </x:c>
      <x:c r="F8" s="26" t="str">
        <x:v>Universal / núcleo</x:v>
      </x:c>
      <x:c r="G8" s="26" t="str"/>
      <x:c r="H8" s="26" t="str">
        <x:v>CORE_PRINCIPAL</x:v>
      </x:c>
      <x:c r="I8" s="26" t="n">
        <x:v>3</x:v>
      </x:c>
      <x:c r="J8" s="32" t="n">
        <x:v>0.022222222222222223</x:v>
      </x:c>
      <x:c r="K8" s="26" t="str">
        <x:v>AGRD613 Operaciones Unitarias Agroindustriales</x:v>
      </x:c>
      <x:c r="L8" s="26" t="str">
        <x:v>S04</x:v>
      </x:c>
      <x:c r="M8" s="26" t="str">
        <x:v>PP1; PP2; PP4; CPIA1; CPIA2; CPIA3; CPIA5</x:v>
      </x:c>
      <x:c r="N8" s="26" t="str">
        <x:v>COBERTURA_PRESENTE_PERO_INSUFICIENTE/ACTUALIZAR</x:v>
      </x:c>
      <x:c r="O8" s="26" t="str">
        <x:v>Familia de identidad ingenieril EPN presente, pero con señal externa/estratégica que exige mayor aplicación, integración o actualización.</x:v>
      </x:c>
      <x:c r="P8" s="26" t="str">
        <x:v>Revisar PEA/guías vigentes si la decisión implica fusión, sustitución o eliminación; la ausencia documental de contenidos no se interpreta como ausencia real.</x:v>
      </x:c>
    </x:row>
    <x:row r="9">
      <x:c r="A9" s="26" t="str">
        <x:v>Muy alta</x:v>
      </x:c>
      <x:c r="B9" s="26" t="str">
        <x:v>REFORZAR</x:v>
      </x:c>
      <x:c r="C9" s="26" t="str">
        <x:v>F0803</x:v>
      </x:c>
      <x:c r="D9" s="26" t="str">
        <x:v>Gestión y aseguramiento de la calidad</x:v>
      </x:c>
      <x:c r="E9" s="32" t="n">
        <x:v>0.8461538461538461</x:v>
      </x:c>
      <x:c r="F9" s="26" t="str">
        <x:v>Universal / núcleo</x:v>
      </x:c>
      <x:c r="G9" s="26" t="str"/>
      <x:c r="H9" s="26" t="str">
        <x:v>CORE_PRINCIPAL</x:v>
      </x:c>
      <x:c r="I9" s="26" t="n">
        <x:v>3</x:v>
      </x:c>
      <x:c r="J9" s="32" t="n">
        <x:v>0.022222222222222223</x:v>
      </x:c>
      <x:c r="K9" s="26" t="str">
        <x:v>AGRD842 Aseguramiento Estadístico de la Calidad; ADMD611 Gestión de Procesos y Calidad</x:v>
      </x:c>
      <x:c r="L9" s="26" t="str">
        <x:v>S05</x:v>
      </x:c>
      <x:c r="M9" s="26" t="str">
        <x:v>PP2; PP4; CPIA2; CPIA3; CPIA5</x:v>
      </x:c>
      <x:c r="N9" s="26" t="str">
        <x:v>COBERTURA_PRESENTE_PERO_INSUFICIENTE/ACTUALIZAR</x:v>
      </x:c>
      <x:c r="O9" s="26" t="str">
        <x:v>La familia ya está en la malla, pero graduados/empleadores o el perfil actualizado demandan mayor profundidad, práctica o actualidad.</x:v>
      </x:c>
      <x:c r="P9" s="26" t="str">
        <x:v>Revisar PEA/guías vigentes si la decisión implica fusión, sustitución o eliminación; la ausencia documental de contenidos no se interpreta como ausencia real.</x:v>
      </x:c>
    </x:row>
    <x:row r="10">
      <x:c r="A10" s="26" t="str">
        <x:v>Muy alta</x:v>
      </x:c>
      <x:c r="B10" s="26" t="str">
        <x:v>REFORZAR</x:v>
      </x:c>
      <x:c r="C10" s="26" t="str">
        <x:v>F0301</x:v>
      </x:c>
      <x:c r="D10" s="26" t="str">
        <x:v>Biología y fisiología</x:v>
      </x:c>
      <x:c r="E10" s="32" t="n">
        <x:v>0.7692307692307693</x:v>
      </x:c>
      <x:c r="F10" s="26" t="str">
        <x:v>Universal / núcleo</x:v>
      </x:c>
      <x:c r="G10" s="26" t="str"/>
      <x:c r="H10" s="26" t="str">
        <x:v>CORE_PRINCIPAL</x:v>
      </x:c>
      <x:c r="I10" s="26" t="n">
        <x:v>2</x:v>
      </x:c>
      <x:c r="J10" s="32" t="n">
        <x:v>0.014814814814814815</x:v>
      </x:c>
      <x:c r="K10" s="26" t="str">
        <x:v>IAQD462 Biología</x:v>
      </x:c>
      <x:c r="L10" s="26" t="str"/>
      <x:c r="M10" s="26" t="str"/>
      <x:c r="N10" s="26" t="str">
        <x:v>COBERTURA_PRESENTE_PERO_INSUFICIENTE/ACTUALIZAR</x:v>
      </x:c>
      <x:c r="O10" s="26" t="str">
        <x:v>La familia está presente, pero su peso obligatorio EPN es sensiblemente menor que el promedio del benchmark Core.</x:v>
      </x:c>
      <x:c r="P10" s="26" t="str">
        <x:v>Revisar PEA/guías vigentes si la decisión implica fusión, sustitución o eliminación; la ausencia documental de contenidos no se interpreta como ausencia real.</x:v>
      </x:c>
    </x:row>
    <x:row r="11">
      <x:c r="A11" s="26" t="str">
        <x:v>Muy alta</x:v>
      </x:c>
      <x:c r="B11" s="26" t="str">
        <x:v>REFORZAR</x:v>
      </x:c>
      <x:c r="C11" s="26" t="str">
        <x:v>F1505</x:v>
      </x:c>
      <x:c r="D11" s="26" t="str">
        <x:v>Práctica externa / internship / stage</x:v>
      </x:c>
      <x:c r="E11" s="32" t="n">
        <x:v>0.6153846153846154</x:v>
      </x:c>
      <x:c r="F11" s="26" t="str">
        <x:v>Consolidada</x:v>
      </x:c>
      <x:c r="G11" s="26" t="str"/>
      <x:c r="H11" s="26" t="str">
        <x:v>CORE_PRINCIPAL</x:v>
      </x:c>
      <x:c r="I11" s="26" t="n">
        <x:v>5</x:v>
      </x:c>
      <x:c r="J11" s="32" t="n">
        <x:v>0.037037037037037035</x:v>
      </x:c>
      <x:c r="K11" s="26" t="str">
        <x:v>PRLD105 Prácticas Laborales</x:v>
      </x:c>
      <x:c r="L11" s="26" t="str">
        <x:v>S07; S11</x:v>
      </x:c>
      <x:c r="M11" s="26" t="str"/>
      <x:c r="N11" s="26" t="str">
        <x:v>COBERTURA_PRESENTE_PERO_INSUFICIENTE/ACTUALIZAR</x:v>
      </x:c>
      <x:c r="O11" s="26" t="str">
        <x:v>Mantener prácticas laborales y ampliar duración, calidad de experiencia, proyectos reales y articulación con empresas.</x:v>
      </x:c>
      <x:c r="P11" s="26" t="str">
        <x:v>Revisar PEA/guías vigentes si la decisión implica fusión, sustitución o eliminación; la ausencia documental de contenidos no se interpreta como ausencia real.</x:v>
      </x:c>
    </x:row>
    <x:row r="12">
      <x:c r="A12" s="26" t="str">
        <x:v>Muy alta</x:v>
      </x:c>
      <x:c r="B12" s="26" t="str">
        <x:v>REFORZAR</x:v>
      </x:c>
      <x:c r="C12" s="26" t="str">
        <x:v>F1507</x:v>
      </x:c>
      <x:c r="D12" s="26" t="str">
        <x:v>Taller / laboratorio integrador / proyecto práctico</x:v>
      </x:c>
      <x:c r="E12" s="32" t="n">
        <x:v>0.3076923076923077</x:v>
      </x:c>
      <x:c r="F12" s="26" t="str">
        <x:v>Selectiva</x:v>
      </x:c>
      <x:c r="G12" s="26" t="str"/>
      <x:c r="H12" s="26" t="str">
        <x:v>AUSENTE</x:v>
      </x:c>
      <x:c r="I12" s="26" t="n">
        <x:v>0</x:v>
      </x:c>
      <x:c r="J12" s="32" t="n">
        <x:v>0</x:v>
      </x:c>
      <x:c r="K12" s="26" t="str"/>
      <x:c r="L12" s="26" t="str">
        <x:v>S07; S08; S11</x:v>
      </x:c>
      <x:c r="M12" s="26" t="str"/>
      <x:c r="N12" s="26" t="str">
        <x:v>AUSENCIA</x:v>
      </x:c>
      <x:c r="O12" s="26" t="str">
        <x:v>EPN dispone de múltiples laboratorios, pero la retroalimentación pide más práctica; reforzar proyectos/laboratorios integradores y experiencias auténticas.</x:v>
      </x:c>
      <x:c r="P12" s="26" t="str">
        <x:v>Revisar PEA/guías vigentes si la decisión implica fusión, sustitución o eliminación; la ausencia documental de contenidos no se interpreta como ausencia real.</x:v>
      </x:c>
    </x:row>
    <x:row r="13">
      <x:c r="A13" s="26" t="str">
        <x:v>Muy alta</x:v>
      </x:c>
      <x:c r="B13" s="26" t="str">
        <x:v>REFORZAR</x:v>
      </x:c>
      <x:c r="C13" s="26" t="str">
        <x:v>F0106</x:v>
      </x:c>
      <x:c r="D13" s="26" t="str">
        <x:v>Métodos numéricos y programación</x:v>
      </x:c>
      <x:c r="E13" s="32" t="n">
        <x:v>0.15384615384615385</x:v>
      </x:c>
      <x:c r="F13" s="26" t="str">
        <x:v>Baja prevalencia</x:v>
      </x:c>
      <x:c r="G13" s="26" t="str">
        <x:v>Nicho / especialización</x:v>
      </x:c>
      <x:c r="H13" s="26" t="str">
        <x:v>CORE_PRINCIPAL</x:v>
      </x:c>
      <x:c r="I13" s="26" t="n">
        <x:v>2</x:v>
      </x:c>
      <x:c r="J13" s="32" t="n">
        <x:v>0.014814814814814815</x:v>
      </x:c>
      <x:c r="K13" s="26" t="str">
        <x:v>IAQD262 Programación</x:v>
      </x:c>
      <x:c r="L13" s="26" t="str">
        <x:v>S01</x:v>
      </x:c>
      <x:c r="M13" s="26" t="str">
        <x:v>CPIA1</x:v>
      </x:c>
      <x:c r="N13" s="26" t="str">
        <x:v>COBERTURA_PRESENTE_PERO_INSUFICIENTE/ACTUALIZAR</x:v>
      </x:c>
      <x:c r="O13" s="26" t="str">
        <x:v>La familia ya está en la malla, pero graduados/empleadores o el perfil actualizado demandan mayor profundidad, práctica o actualidad.</x:v>
      </x:c>
      <x:c r="P13" s="26" t="str">
        <x:v>Revisar PEA/guías vigentes si la decisión implica fusión, sustitución o eliminación; la ausencia documental de contenidos no se interpreta como ausencia real.</x:v>
      </x:c>
    </x:row>
    <x:row r="14">
      <x:c r="A14" s="26" t="str">
        <x:v>Muy alta</x:v>
      </x:c>
      <x:c r="B14" s="26" t="str">
        <x:v>REFORZAR</x:v>
      </x:c>
      <x:c r="C14" s="26" t="str">
        <x:v>F1602</x:v>
      </x:c>
      <x:c r="D14" s="26" t="str">
        <x:v>Comunicación académica y profesional</x:v>
      </x:c>
      <x:c r="E14" s="32" t="n">
        <x:v>0.07692307692307693</x:v>
      </x:c>
      <x:c r="F14" s="26" t="str">
        <x:v>Baja prevalencia</x:v>
      </x:c>
      <x:c r="G14" s="26" t="str">
        <x:v>Nicho / especialización</x:v>
      </x:c>
      <x:c r="H14" s="26" t="str">
        <x:v>CORE_PRINCIPAL + REQUISITO_GRADUACION</x:v>
      </x:c>
      <x:c r="I14" s="26" t="n">
        <x:v>1</x:v>
      </x:c>
      <x:c r="J14" s="32" t="n">
        <x:v>0.007407407407407408</x:v>
      </x:c>
      <x:c r="K14" s="26" t="str">
        <x:v>CSHD111 Comunicación Oral y Escrita; CSHD500 Asignatura de Comunicación</x:v>
      </x:c>
      <x:c r="L14" s="26" t="str">
        <x:v>S02; S09</x:v>
      </x:c>
      <x:c r="M14" s="26" t="str">
        <x:v>PP6</x:v>
      </x:c>
      <x:c r="N14" s="26" t="str">
        <x:v>COBERTURA_PRESENTE_PERO_INSUFICIENTE/ACTUALIZAR</x:v>
      </x:c>
      <x:c r="O14" s="26" t="str">
        <x:v>Mantener comunicación y reforzarla transversalmente en reportes, presentaciones y proyectos.</x:v>
      </x:c>
      <x:c r="P14" s="26" t="str">
        <x:v>Revisar PEA/guías vigentes si la decisión implica fusión, sustitución o eliminación; la ausencia documental de contenidos no se interpreta como ausencia real.</x:v>
      </x:c>
    </x:row>
    <x:row r="15">
      <x:c r="A15" s="26" t="str">
        <x:v>Muy alta</x:v>
      </x:c>
      <x:c r="B15" s="26" t="str">
        <x:v>REFORZAR</x:v>
      </x:c>
      <x:c r="C15" s="26" t="str">
        <x:v>F0510</x:v>
      </x:c>
      <x:c r="D15" s="26" t="str">
        <x:v>Modelización, simulación y optimización de procesos</x:v>
      </x:c>
      <x:c r="E15" s="32" t="n">
        <x:v>0</x:v>
      </x:c>
      <x:c r="F15" s="26" t="str">
        <x:v>Baja prevalencia</x:v>
      </x:c>
      <x:c r="G15" s="26" t="str"/>
      <x:c r="H15" s="26" t="str">
        <x:v>CORE_PRINCIPAL</x:v>
      </x:c>
      <x:c r="I15" s="26" t="n">
        <x:v>2</x:v>
      </x:c>
      <x:c r="J15" s="32" t="n">
        <x:v>0.014814814814814815</x:v>
      </x:c>
      <x:c r="K15" s="26" t="str">
        <x:v>AGRD822 Simulación de Procesos Agroindustriales</x:v>
      </x:c>
      <x:c r="L15" s="26" t="str">
        <x:v>S01; S04</x:v>
      </x:c>
      <x:c r="M15" s="26" t="str">
        <x:v>PP1; PP2; PP3; PP4; CPIA2; CPIA3; CPIA4; CPIA5</x:v>
      </x:c>
      <x:c r="N15" s="26" t="str">
        <x:v>COBERTURA_PRESENTE_PERO_INSUFICIENTE/ACTUALIZAR</x:v>
      </x:c>
      <x:c r="O15" s="26" t="str">
        <x:v>Familia de identidad ingenieril EPN presente, pero con señal externa/estratégica que exige mayor aplicación, integración o actualización.</x:v>
      </x:c>
      <x:c r="P15" s="26" t="str">
        <x:v>Revisar PEA/guías vigentes si la decisión implica fusión, sustitución o eliminación; la ausencia documental de contenidos no se interpreta como ausencia real.</x:v>
      </x:c>
    </x:row>
    <x:row r="16">
      <x:c r="A16" s="26" t="str">
        <x:v>Muy alta</x:v>
      </x:c>
      <x:c r="B16" s="26" t="str">
        <x:v>INTEGRAR</x:v>
      </x:c>
      <x:c r="C16" s="26" t="str">
        <x:v>F0303</x:v>
      </x:c>
      <x:c r="D16" s="26" t="str">
        <x:v>Microbiología general</x:v>
      </x:c>
      <x:c r="E16" s="32" t="n">
        <x:v>0.7692307692307693</x:v>
      </x:c>
      <x:c r="F16" s="26" t="str">
        <x:v>Universal / núcleo</x:v>
      </x:c>
      <x:c r="G16" s="26" t="str"/>
      <x:c r="H16" s="26" t="str">
        <x:v>AUSENTE</x:v>
      </x:c>
      <x:c r="I16" s="26" t="n">
        <x:v>0</x:v>
      </x:c>
      <x:c r="J16" s="32" t="n">
        <x:v>0</x:v>
      </x:c>
      <x:c r="K16" s="26" t="str"/>
      <x:c r="L16" s="26" t="str"/>
      <x:c r="M16" s="26" t="str"/>
      <x:c r="N16" s="26" t="str">
        <x:v>AUSENCIA</x:v>
      </x:c>
      <x:c r="O16" s="26" t="str">
        <x:v>Microbiología general es universal, pero EPN ya tiene Microbiología Industrial y de Alimentos; incorporar explícitamente fundamentos y prerrequisitos microbiológicos antes de añadir otra materia.</x:v>
      </x:c>
      <x:c r="P16" s="26" t="str">
        <x:v>Revisar PEA/guías vigentes si la decisión implica fusión, sustitución o eliminación; la ausencia documental de contenidos no se interpreta como ausencia real.</x:v>
      </x:c>
    </x:row>
    <x:row r="17">
      <x:c r="A17" s="26" t="str">
        <x:v>Muy alta</x:v>
      </x:c>
      <x:c r="B17" s="26" t="str">
        <x:v>INTEGRAR</x:v>
      </x:c>
      <x:c r="C17" s="26" t="str">
        <x:v>F1103</x:v>
      </x:c>
      <x:c r="D17" s="26" t="str">
        <x:v>Residuos, subproductos y valorización</x:v>
      </x:c>
      <x:c r="E17" s="32" t="n">
        <x:v>0.3076923076923077</x:v>
      </x:c>
      <x:c r="F17" s="26" t="str">
        <x:v>Selectiva</x:v>
      </x:c>
      <x:c r="G17" s="26" t="str">
        <x:v>Emergente en grado</x:v>
      </x:c>
      <x:c r="H17" s="26" t="str">
        <x:v>REQUISITO_GRADUACION</x:v>
      </x:c>
      <x:c r="I17" s="26" t="n">
        <x:v>0</x:v>
      </x:c>
      <x:c r="J17" s="32" t="n">
        <x:v>0</x:v>
      </x:c>
      <x:c r="K17" s="26" t="str">
        <x:v>AGRD810 Subproductos Agroindustriales</x:v>
      </x:c>
      <x:c r="L17" s="26" t="str">
        <x:v>S03</x:v>
      </x:c>
      <x:c r="M17" s="26" t="str">
        <x:v>PP3; CPIA3; CPIA4</x:v>
      </x:c>
      <x:c r="N17" s="26" t="str">
        <x:v>SOLO_REQUISITO_GRADUACION</x:v>
      </x:c>
      <x:c r="O17" s="26" t="str">
        <x:v>Subproductos Agroindustriales existe como requisito de graduación; elevarlo a experiencia explícita y articulada con circularidad/valorización.</x:v>
      </x:c>
      <x:c r="P17" s="26" t="str">
        <x:v>Revisar PEA/guías vigentes si la decisión implica fusión, sustitución o eliminación; la ausencia documental de contenidos no se interpreta como ausencia real.</x:v>
      </x:c>
    </x:row>
    <x:row r="18">
      <x:c r="A18" s="26" t="str">
        <x:v>Muy alta</x:v>
      </x:c>
      <x:c r="B18" s="26" t="str">
        <x:v>INTEGRAR</x:v>
      </x:c>
      <x:c r="C18" s="26" t="str">
        <x:v>F1601</x:v>
      </x:c>
      <x:c r="D18" s="26" t="str">
        <x:v>Idioma extranjero</x:v>
      </x:c>
      <x:c r="E18" s="32" t="n">
        <x:v>0.3076923076923077</x:v>
      </x:c>
      <x:c r="F18" s="26" t="str">
        <x:v>Selectiva</x:v>
      </x:c>
      <x:c r="G18" s="26" t="str"/>
      <x:c r="H18" s="26" t="str">
        <x:v>REQUISITO_GRADUACION</x:v>
      </x:c>
      <x:c r="I18" s="26" t="n">
        <x:v>0</x:v>
      </x:c>
      <x:c r="J18" s="32" t="n">
        <x:v>0</x:v>
      </x:c>
      <x:c r="K18" s="26" t="str">
        <x:v>IEXD200 Nivel de Suficiencia B1 en el idioma inglés</x:v>
      </x:c>
      <x:c r="L18" s="26" t="str">
        <x:v>S02</x:v>
      </x:c>
      <x:c r="M18" s="26" t="str">
        <x:v>PP6</x:v>
      </x:c>
      <x:c r="N18" s="26" t="str">
        <x:v>SOLO_REQUISITO_GRADUACION</x:v>
      </x:c>
      <x:c r="O18" s="26" t="str">
        <x:v>El B1 como requisito no basta para el perfil propuesto; integrar inglés técnico en asignaturas, informes y presentaciones.</x:v>
      </x:c>
      <x:c r="P18" s="26" t="str">
        <x:v>Revisar PEA/guías vigentes si la decisión implica fusión, sustitución o eliminación; la ausencia documental de contenidos no se interpreta como ausencia real.</x:v>
      </x:c>
    </x:row>
    <x:row r="19">
      <x:c r="A19" s="26" t="str">
        <x:v>Muy alta</x:v>
      </x:c>
      <x:c r="B19" s="26" t="str">
        <x:v>INTEGRAR</x:v>
      </x:c>
      <x:c r="C19" s="26" t="str">
        <x:v>F1603</x:v>
      </x:c>
      <x:c r="D19" s="26" t="str">
        <x:v>Ética, responsabilidad y desarrollo profesional</x:v>
      </x:c>
      <x:c r="E19" s="32" t="n">
        <x:v>0.15384615384615385</x:v>
      </x:c>
      <x:c r="F19" s="26" t="str">
        <x:v>Baja prevalencia</x:v>
      </x:c>
      <x:c r="G19" s="26" t="str">
        <x:v>Nicho / especialización</x:v>
      </x:c>
      <x:c r="H19" s="26" t="str">
        <x:v>AUSENTE</x:v>
      </x:c>
      <x:c r="I19" s="26" t="n">
        <x:v>0</x:v>
      </x:c>
      <x:c r="J19" s="32" t="n">
        <x:v>0</x:v>
      </x:c>
      <x:c r="K19" s="26" t="str"/>
      <x:c r="L19" s="26" t="str">
        <x:v>S09; S10</x:v>
      </x:c>
      <x:c r="M19" s="26" t="str">
        <x:v>PP6</x:v>
      </x:c>
      <x:c r="N19" s="26" t="str">
        <x:v>AUSENCIA</x:v>
      </x:c>
      <x:c r="O19" s="26" t="str">
        <x:v>La ética está en el objetivo/perfil; convertirla en resultados evaluables dentro de proyectos, prácticas, calidad y sostenibilidad.</x:v>
      </x:c>
      <x:c r="P19" s="26" t="str">
        <x:v>Revisar PEA/guías vigentes si la decisión implica fusión, sustitución o eliminación; la ausencia documental de contenidos no se interpreta como ausencia real.</x:v>
      </x:c>
    </x:row>
    <x:row r="20">
      <x:c r="A20" s="26" t="str">
        <x:v>Muy alta</x:v>
      </x:c>
      <x:c r="B20" s="26" t="str">
        <x:v>INTEGRAR</x:v>
      </x:c>
      <x:c r="C20" s="26" t="str">
        <x:v>F1106</x:v>
      </x:c>
      <x:c r="D20" s="26" t="str">
        <x:v>Bioenergía, biomasa y energía ambiental</x:v>
      </x:c>
      <x:c r="E20" s="32" t="n">
        <x:v>0.07692307692307693</x:v>
      </x:c>
      <x:c r="F20" s="26" t="str">
        <x:v>Baja prevalencia</x:v>
      </x:c>
      <x:c r="G20" s="26" t="str">
        <x:v>Nicho / especialización</x:v>
      </x:c>
      <x:c r="H20" s="26" t="str">
        <x:v>AUSENTE</x:v>
      </x:c>
      <x:c r="I20" s="26" t="n">
        <x:v>0</x:v>
      </x:c>
      <x:c r="J20" s="32" t="n">
        <x:v>0</x:v>
      </x:c>
      <x:c r="K20" s="26" t="str"/>
      <x:c r="L20" s="26" t="str">
        <x:v>S03</x:v>
      </x:c>
      <x:c r="M20" s="26" t="str"/>
      <x:c r="N20" s="26" t="str">
        <x:v>AUSENCIA</x:v>
      </x:c>
      <x:c r="O20" s="26" t="str">
        <x:v>Demanda EPN/perfil relevante; incorporar como resultado transversal o módulo antes de crear una asignatura independiente.</x:v>
      </x:c>
      <x:c r="P20" s="26" t="str">
        <x:v>Revisar PEA/guías vigentes si la decisión implica fusión, sustitución o eliminación; la ausencia documental de contenidos no se interpreta como ausencia real.</x:v>
      </x:c>
    </x:row>
    <x:row r="21">
      <x:c r="A21" s="26" t="str">
        <x:v>Muy alta</x:v>
      </x:c>
      <x:c r="B21" s="26" t="str">
        <x:v>INTEGRAR</x:v>
      </x:c>
      <x:c r="C21" s="26" t="str">
        <x:v>F1206</x:v>
      </x:c>
      <x:c r="D21" s="26" t="str">
        <x:v>Gestión de producción y operaciones</x:v>
      </x:c>
      <x:c r="E21" s="32" t="n">
        <x:v>0</x:v>
      </x:c>
      <x:c r="F21" s="26" t="str">
        <x:v>Baja prevalencia</x:v>
      </x:c>
      <x:c r="G21" s="26" t="str"/>
      <x:c r="H21" s="26" t="str">
        <x:v>AUSENTE</x:v>
      </x:c>
      <x:c r="I21" s="26" t="n">
        <x:v>0</x:v>
      </x:c>
      <x:c r="J21" s="32" t="n">
        <x:v>0</x:v>
      </x:c>
      <x:c r="K21" s="26" t="str"/>
      <x:c r="L21" s="26" t="str">
        <x:v>S04</x:v>
      </x:c>
      <x:c r="M21" s="26" t="str">
        <x:v>PP5; CPIA5</x:v>
      </x:c>
      <x:c r="N21" s="26" t="str">
        <x:v>AUSENCIA</x:v>
      </x:c>
      <x:c r="O21" s="26" t="str">
        <x:v>Demanda EPN/perfil relevante; incorporar como resultado transversal o módulo antes de crear una asignatura independiente.</x:v>
      </x:c>
      <x:c r="P21" s="26" t="str">
        <x:v>Revisar PEA/guías vigentes si la decisión implica fusión, sustitución o eliminación; la ausencia documental de contenidos no se interpreta como ausencia real.</x:v>
      </x:c>
    </x:row>
    <x:row r="22">
      <x:c r="A22" s="26" t="str">
        <x:v>Muy alta</x:v>
      </x:c>
      <x:c r="B22" s="26" t="str">
        <x:v>INTEGRAR</x:v>
      </x:c>
      <x:c r="C22" s="26" t="str">
        <x:v>F1207</x:v>
      </x:c>
      <x:c r="D22" s="26" t="str">
        <x:v>Gestión de proyectos</x:v>
      </x:c>
      <x:c r="E22" s="32" t="n">
        <x:v>0</x:v>
      </x:c>
      <x:c r="F22" s="26" t="str">
        <x:v>Baja prevalencia</x:v>
      </x:c>
      <x:c r="G22" s="26" t="str"/>
      <x:c r="H22" s="26" t="str">
        <x:v>REQUISITO_GRADUACION</x:v>
      </x:c>
      <x:c r="I22" s="26" t="n">
        <x:v>0</x:v>
      </x:c>
      <x:c r="J22" s="32" t="n">
        <x:v>0</x:v>
      </x:c>
      <x:c r="K22" s="26" t="str">
        <x:v>ADMD800 Formulación y Evaluación de Proyectos</x:v>
      </x:c>
      <x:c r="L22" s="26" t="str">
        <x:v>S10</x:v>
      </x:c>
      <x:c r="M22" s="26" t="str">
        <x:v>PP5</x:v>
      </x:c>
      <x:c r="N22" s="26" t="str">
        <x:v>SOLO_REQUISITO_GRADUACION</x:v>
      </x:c>
      <x:c r="O22" s="26" t="str">
        <x:v>Formulación y Evaluación de Proyectos existe como requisito; articularla con PP5 y una secuencia de proyecto/gestión.</x:v>
      </x:c>
      <x:c r="P22" s="26" t="str">
        <x:v>Revisar PEA/guías vigentes si la decisión implica fusión, sustitución o eliminación; la ausencia documental de contenidos no se interpreta como ausencia real.</x:v>
      </x:c>
    </x:row>
    <x:row r="23">
      <x:c r="A23" s="26" t="str">
        <x:v>Muy alta</x:v>
      </x:c>
      <x:c r="B23" s="26" t="str">
        <x:v>INTEGRAR</x:v>
      </x:c>
      <x:c r="C23" s="26" t="str">
        <x:v>F1403</x:v>
      </x:c>
      <x:c r="D23" s="26" t="str">
        <x:v>Investigación y desarrollo aplicado</x:v>
      </x:c>
      <x:c r="E23" s="32" t="n">
        <x:v>0</x:v>
      </x:c>
      <x:c r="F23" s="26" t="str">
        <x:v>Baja prevalencia</x:v>
      </x:c>
      <x:c r="G23" s="26" t="str">
        <x:v>Emergente desde nivel avanzado</x:v>
      </x:c>
      <x:c r="H23" s="26" t="str">
        <x:v>AUSENTE</x:v>
      </x:c>
      <x:c r="I23" s="26" t="n">
        <x:v>0</x:v>
      </x:c>
      <x:c r="J23" s="32" t="n">
        <x:v>0</x:v>
      </x:c>
      <x:c r="K23" s="26" t="str"/>
      <x:c r="L23" s="26" t="str">
        <x:v>S06</x:v>
      </x:c>
      <x:c r="M23" s="26" t="str">
        <x:v>PP3; CPIA4</x:v>
      </x:c>
      <x:c r="N23" s="26" t="str">
        <x:v>AUSENCIA</x:v>
      </x:c>
      <x:c r="O23" s="26" t="str">
        <x:v>Integrar I+D aplicada en Bioingeniería, laboratorios, simulación y trabajo de integración, con evidencia evaluable.</x:v>
      </x:c>
      <x:c r="P23" s="26" t="str">
        <x:v>Revisar PEA/guías vigentes si la decisión implica fusión, sustitución o eliminación; la ausencia documental de contenidos no se interpreta como ausencia real.</x:v>
      </x:c>
    </x:row>
    <x:row r="24">
      <x:c r="A24" s="26" t="str">
        <x:v>Alta</x:v>
      </x:c>
      <x:c r="B24" s="26" t="str">
        <x:v>AÑADIR</x:v>
      </x:c>
      <x:c r="C24" s="26" t="str">
        <x:v>F0905</x:v>
      </x:c>
      <x:c r="D24" s="26" t="str">
        <x:v>Automatización, control e instrumentación</x:v>
      </x:c>
      <x:c r="E24" s="32" t="n">
        <x:v>0.3076923076923077</x:v>
      </x:c>
      <x:c r="F24" s="26" t="str">
        <x:v>Selectiva</x:v>
      </x:c>
      <x:c r="G24" s="26" t="str"/>
      <x:c r="H24" s="26" t="str">
        <x:v>AUSENTE</x:v>
      </x:c>
      <x:c r="I24" s="26" t="n">
        <x:v>0</x:v>
      </x:c>
      <x:c r="J24" s="32" t="n">
        <x:v>0</x:v>
      </x:c>
      <x:c r="K24" s="26" t="str"/>
      <x:c r="L24" s="26" t="str"/>
      <x:c r="M24" s="26" t="str">
        <x:v>PP4; CPIA5</x:v>
      </x:c>
      <x:c r="N24" s="26" t="str">
        <x:v>AUSENCIA</x:v>
      </x:c>
      <x:c r="O24" s="26" t="str">
        <x:v>No existe curso explícito de automatización/control; la competencia digital-operacional del perfil ajustado y la práctica industrial justifican una unidad específica.</x:v>
      </x:c>
      <x:c r="P24" s="26" t="str">
        <x:v>Revisar PEA/guías vigentes si la decisión implica fusión, sustitución o eliminación; la ausencia documental de contenidos no se interpreta como ausencia real.</x:v>
      </x:c>
    </x:row>
    <x:row r="25">
      <x:c r="A25" s="26" t="str">
        <x:v>Alta</x:v>
      </x:c>
      <x:c r="B25" s="26" t="str">
        <x:v>REFORZAR</x:v>
      </x:c>
      <x:c r="C25" s="26" t="str">
        <x:v>F0604</x:v>
      </x:c>
      <x:c r="D25" s="26" t="str">
        <x:v>Tecnología / procesamiento general de alimentos</x:v>
      </x:c>
      <x:c r="E25" s="32" t="n">
        <x:v>0.6153846153846154</x:v>
      </x:c>
      <x:c r="F25" s="26" t="str">
        <x:v>Consolidada</x:v>
      </x:c>
      <x:c r="G25" s="26" t="str"/>
      <x:c r="H25" s="26" t="str">
        <x:v>CORE_PRINCIPAL + ITINERARIO</x:v>
      </x:c>
      <x:c r="I25" s="26" t="n">
        <x:v>3</x:v>
      </x:c>
      <x:c r="J25" s="32" t="n">
        <x:v>0.022222222222222223</x:v>
      </x:c>
      <x:c r="K25" s="26" t="str">
        <x:v>AGRD733 Ingeniería de Alimentos; AGRD801 Tecnología de Alimentos I; AGRD901 Tecnología de Alimentos II</x:v>
      </x:c>
      <x:c r="L25" s="26" t="str"/>
      <x:c r="M25" s="26" t="str">
        <x:v>PP1; PP2; CPIA3</x:v>
      </x:c>
      <x:c r="N25" s="26" t="str">
        <x:v>COBERTURA_PRESENTE_PERO_INSUFICIENTE/ACTUALIZAR</x:v>
      </x:c>
      <x:c r="O25" s="26" t="str">
        <x:v>La familia está presente, pero su peso obligatorio EPN es sensiblemente menor que el promedio del benchmark Core.</x:v>
      </x:c>
      <x:c r="P25" s="26" t="str">
        <x:v>Revisar PEA/guías vigentes si la decisión implica fusión, sustitución o eliminación; la ausencia documental de contenidos no se interpreta como ausencia real.</x:v>
      </x:c>
    </x:row>
    <x:row r="26">
      <x:c r="A26" s="26" t="str">
        <x:v>Alta</x:v>
      </x:c>
      <x:c r="B26" s="26" t="str">
        <x:v>REFORZAR</x:v>
      </x:c>
      <x:c r="C26" s="26" t="str">
        <x:v>F1202</x:v>
      </x:c>
      <x:c r="D26" s="26" t="str">
        <x:v>Administración y gestión empresarial</x:v>
      </x:c>
      <x:c r="E26" s="32" t="n">
        <x:v>0.5384615384615384</x:v>
      </x:c>
      <x:c r="F26" s="26" t="str">
        <x:v>Consolidada</x:v>
      </x:c>
      <x:c r="G26" s="26" t="str"/>
      <x:c r="H26" s="26" t="str">
        <x:v>CORE_PRINCIPAL + CORE_SECUNDARIA</x:v>
      </x:c>
      <x:c r="I26" s="26" t="n">
        <x:v>1</x:v>
      </x:c>
      <x:c r="J26" s="32" t="n">
        <x:v>0.007407407407407408</x:v>
      </x:c>
      <x:c r="K26" s="26" t="str">
        <x:v>ADMD511 Gestión Organizacional; ADMD611 Gestión de Procesos y Calidad</x:v>
      </x:c>
      <x:c r="L26" s="26" t="str"/>
      <x:c r="M26" s="26" t="str">
        <x:v>PP5; CPIA5</x:v>
      </x:c>
      <x:c r="N26" s="26" t="str">
        <x:v>COBERTURA_PRESENTE_PERO_INSUFICIENTE/ACTUALIZAR</x:v>
      </x:c>
      <x:c r="O26" s="26" t="str">
        <x:v>La familia está presente, pero su peso obligatorio EPN es sensiblemente menor que el promedio del benchmark Core.</x:v>
      </x:c>
      <x:c r="P26" s="26" t="str">
        <x:v>Revisar PEA/guías vigentes si la decisión implica fusión, sustitución o eliminación; la ausencia documental de contenidos no se interpreta como ausencia real.</x:v>
      </x:c>
    </x:row>
    <x:row r="27">
      <x:c r="A27" s="26" t="str">
        <x:v>Alta</x:v>
      </x:c>
      <x:c r="B27" s="26" t="str">
        <x:v>INTEGRAR</x:v>
      </x:c>
      <x:c r="C27" s="26" t="str">
        <x:v>F0605</x:v>
      </x:c>
      <x:c r="D27" s="26" t="str">
        <x:v>Conservación de alimentos y tecnologías emergentes</x:v>
      </x:c>
      <x:c r="E27" s="32" t="n">
        <x:v>0.38461538461538464</x:v>
      </x:c>
      <x:c r="F27" s="26" t="str">
        <x:v>Selectiva</x:v>
      </x:c>
      <x:c r="G27" s="26" t="str">
        <x:v>Emergente en grado</x:v>
      </x:c>
      <x:c r="H27" s="26" t="str">
        <x:v>AUSENTE</x:v>
      </x:c>
      <x:c r="I27" s="26" t="n">
        <x:v>0</x:v>
      </x:c>
      <x:c r="J27" s="32" t="n">
        <x:v>0</x:v>
      </x:c>
      <x:c r="K27" s="26" t="str"/>
      <x:c r="L27" s="26" t="str"/>
      <x:c r="M27" s="26" t="str">
        <x:v>PP2; CPIA3</x:v>
      </x:c>
      <x:c r="N27" s="26" t="str">
        <x:v>AUSENCIA</x:v>
      </x:c>
      <x:c r="O27" s="26" t="str">
        <x:v>Incorporar conservación y tecnologías emergentes en Ingeniería de Alimentos/itinerario; si los PEA muestran ausencia, escalar a AÑADIR.</x:v>
      </x:c>
      <x:c r="P27" s="26" t="str">
        <x:v>Revisar PEA/guías vigentes si la decisión implica fusión, sustitución o eliminación; la ausencia documental de contenidos no se interpreta como ausencia real.</x:v>
      </x:c>
    </x:row>
    <x:row r="28">
      <x:c r="A28" s="26" t="str">
        <x:v>Alta</x:v>
      </x:c>
      <x:c r="B28" s="26" t="str">
        <x:v>INTEGRAR</x:v>
      </x:c>
      <x:c r="C28" s="26" t="str">
        <x:v>F0305</x:v>
      </x:c>
      <x:c r="D28" s="26" t="str">
        <x:v>Biotecnología y biología molecular</x:v>
      </x:c>
      <x:c r="E28" s="32" t="n">
        <x:v>0.23076923076923078</x:v>
      </x:c>
      <x:c r="F28" s="26" t="str">
        <x:v>Baja prevalencia</x:v>
      </x:c>
      <x:c r="G28" s="26" t="str">
        <x:v>Nicho / especialización</x:v>
      </x:c>
      <x:c r="H28" s="26" t="str">
        <x:v>CORE_SECUNDARIA + ITINERARIO</x:v>
      </x:c>
      <x:c r="I28" s="26" t="n">
        <x:v>0</x:v>
      </x:c>
      <x:c r="J28" s="32" t="n">
        <x:v>0</x:v>
      </x:c>
      <x:c r="K28" s="26" t="str">
        <x:v>AGRD723 Bioingeniería; AGRD802 Biotecnología Agroindustrial I; AGRD902 Biotecnología Agroindustrial II</x:v>
      </x:c>
      <x:c r="L28" s="26" t="str"/>
      <x:c r="M28" s="26" t="str">
        <x:v>PP3; CPIA4</x:v>
      </x:c>
      <x:c r="N28" s="26" t="str">
        <x:v>COBERTURA_SECUNDARIA/IMPLÍCITA</x:v>
      </x:c>
      <x:c r="O28" s="26" t="str">
        <x:v>La cobertura existe solo como componente secundario; conviene hacerla explícita dentro de una o varias asignaturas existentes.</x:v>
      </x:c>
      <x:c r="P28" s="26" t="str">
        <x:v>Revisar PEA/guías vigentes si la decisión implica fusión, sustitución o eliminación; la ausencia documental de contenidos no se interpreta como ausencia real.</x:v>
      </x:c>
    </x:row>
    <x:row r="29">
      <x:c r="A29" s="26" t="str">
        <x:v>Alta</x:v>
      </x:c>
      <x:c r="B29" s="26" t="str">
        <x:v>INTEGRAR</x:v>
      </x:c>
      <x:c r="C29" s="26" t="str">
        <x:v>F1208</x:v>
      </x:c>
      <x:c r="D29" s="26" t="str">
        <x:v>Emprendimiento y modelos de negocio</x:v>
      </x:c>
      <x:c r="E29" s="32" t="n">
        <x:v>0.23076923076923078</x:v>
      </x:c>
      <x:c r="F29" s="26" t="str">
        <x:v>Baja prevalencia</x:v>
      </x:c>
      <x:c r="G29" s="26" t="str">
        <x:v>Emergente en grado</x:v>
      </x:c>
      <x:c r="H29" s="26" t="str">
        <x:v>REQUISITO_GRADUACION</x:v>
      </x:c>
      <x:c r="I29" s="26" t="n">
        <x:v>0</x:v>
      </x:c>
      <x:c r="J29" s="32" t="n">
        <x:v>0</x:v>
      </x:c>
      <x:c r="K29" s="26" t="str">
        <x:v>ADMD700 Emprendimiento</x:v>
      </x:c>
      <x:c r="L29" s="26" t="str"/>
      <x:c r="M29" s="26" t="str">
        <x:v>PP5</x:v>
      </x:c>
      <x:c r="N29" s="26" t="str">
        <x:v>SOLO_REQUISITO_GRADUACION</x:v>
      </x:c>
      <x:c r="O29" s="26" t="str">
        <x:v>Emprendimiento ya es requisito; integrarlo con innovación, modelo de negocio y proyecto final.</x:v>
      </x:c>
      <x:c r="P29" s="26" t="str">
        <x:v>Revisar PEA/guías vigentes si la decisión implica fusión, sustitución o eliminación; la ausencia documental de contenidos no se interpreta como ausencia real.</x:v>
      </x:c>
    </x:row>
    <x:row r="30">
      <x:c r="A30" s="26" t="str">
        <x:v>Alta</x:v>
      </x:c>
      <x:c r="B30" s="26" t="str">
        <x:v>INTEGRAR</x:v>
      </x:c>
      <x:c r="C30" s="26" t="str">
        <x:v>F0105</x:v>
      </x:c>
      <x:c r="D30" s="26" t="str">
        <x:v>Diseño experimental y análisis multivariante</x:v>
      </x:c>
      <x:c r="E30" s="32" t="n">
        <x:v>0</x:v>
      </x:c>
      <x:c r="F30" s="26" t="str">
        <x:v>Baja prevalencia</x:v>
      </x:c>
      <x:c r="G30" s="26" t="str"/>
      <x:c r="H30" s="26" t="str">
        <x:v>AUSENTE</x:v>
      </x:c>
      <x:c r="I30" s="26" t="n">
        <x:v>0</x:v>
      </x:c>
      <x:c r="J30" s="32" t="n">
        <x:v>0</x:v>
      </x:c>
      <x:c r="K30" s="26" t="str"/>
      <x:c r="L30" s="26" t="str"/>
      <x:c r="M30" s="26" t="str">
        <x:v>CPIA2; CPIA4</x:v>
      </x:c>
      <x:c r="N30" s="26" t="str">
        <x:v>AUSENCIA</x:v>
      </x:c>
      <x:c r="O30" s="26" t="str">
        <x:v>Demanda EPN/perfil relevante; incorporar como resultado transversal o módulo antes de crear una asignatura independiente.</x:v>
      </x:c>
      <x:c r="P30" s="26" t="str">
        <x:v>Revisar PEA/guías vigentes si la decisión implica fusión, sustitución o eliminación; la ausencia documental de contenidos no se interpreta como ausencia real.</x:v>
      </x:c>
    </x:row>
    <x:row r="31">
      <x:c r="A31" s="26" t="str">
        <x:v>Alta</x:v>
      </x:c>
      <x:c r="B31" s="26" t="str">
        <x:v>INTEGRAR</x:v>
      </x:c>
      <x:c r="C31" s="26" t="str">
        <x:v>F1404</x:v>
      </x:c>
      <x:c r="D31" s="26" t="str">
        <x:v>Diseño experimental aplicado a I+D</x:v>
      </x:c>
      <x:c r="E31" s="32" t="n">
        <x:v>0</x:v>
      </x:c>
      <x:c r="F31" s="26" t="str">
        <x:v>Baja prevalencia</x:v>
      </x:c>
      <x:c r="G31" s="26" t="str"/>
      <x:c r="H31" s="26" t="str">
        <x:v>AUSENTE</x:v>
      </x:c>
      <x:c r="I31" s="26" t="n">
        <x:v>0</x:v>
      </x:c>
      <x:c r="J31" s="32" t="n">
        <x:v>0</x:v>
      </x:c>
      <x:c r="K31" s="26" t="str"/>
      <x:c r="L31" s="26" t="str"/>
      <x:c r="M31" s="26" t="str">
        <x:v>PP3; CPIA4</x:v>
      </x:c>
      <x:c r="N31" s="26" t="str">
        <x:v>AUSENCIA</x:v>
      </x:c>
      <x:c r="O31" s="26" t="str">
        <x:v>Demanda EPN/perfil relevante; incorporar como resultado transversal o módulo antes de crear una asignatura independiente.</x:v>
      </x:c>
      <x:c r="P31" s="26" t="str">
        <x:v>Revisar PEA/guías vigentes si la decisión implica fusión, sustitución o eliminación; la ausencia documental de contenidos no se interpreta como ausencia real.</x:v>
      </x:c>
    </x:row>
    <x:row r="32">
      <x:c r="A32" s="26" t="str">
        <x:v>Media</x:v>
      </x:c>
      <x:c r="B32" s="26" t="str">
        <x:v>REFORZAR</x:v>
      </x:c>
      <x:c r="C32" s="26" t="str">
        <x:v>F1503</x:v>
      </x:c>
      <x:c r="D32" s="26" t="str">
        <x:v>Trabajo Fin de Grado / Bachelor thesis</x:v>
      </x:c>
      <x:c r="E32" s="32" t="n">
        <x:v>0.6923076923076923</x:v>
      </x:c>
      <x:c r="F32" s="26" t="str">
        <x:v>Consolidada</x:v>
      </x:c>
      <x:c r="G32" s="26" t="str"/>
      <x:c r="H32" s="26" t="str">
        <x:v>CORE_SECUNDARIA</x:v>
      </x:c>
      <x:c r="I32" s="26" t="n">
        <x:v>0</x:v>
      </x:c>
      <x:c r="J32" s="32" t="n">
        <x:v>0</x:v>
      </x:c>
      <x:c r="K32" s="26" t="str">
        <x:v>TITD201 Trabajo de Integración Curricular / Examen de Carácter Complexivo</x:v>
      </x:c>
      <x:c r="L32" s="26" t="str"/>
      <x:c r="M32" s="26" t="str"/>
      <x:c r="N32" s="26" t="str">
        <x:v>COBERTURA_SECUNDARIA/IMPLÍCITA</x:v>
      </x:c>
      <x:c r="O32" s="26" t="str">
        <x:v>Asegurar evidencia de integración/diseño para todos los estudiantes, incluso cuando la modalidad de culminación sea examen complexivo.</x:v>
      </x:c>
      <x:c r="P32" s="26" t="str">
        <x:v>Revisar PEA/guías vigentes si la decisión implica fusión, sustitución o eliminación; la ausencia documental de contenidos no se interpreta como ausencia real.</x:v>
      </x:c>
    </x:row>
    <x:row r="33">
      <x:c r="A33" s="26" t="str">
        <x:v>Media</x:v>
      </x:c>
      <x:c r="B33" s="26" t="str">
        <x:v>REFORZAR</x:v>
      </x:c>
      <x:c r="C33" s="26" t="str">
        <x:v>F0907</x:v>
      </x:c>
      <x:c r="D33" s="26" t="str">
        <x:v>Envases, materiales y packaging</x:v>
      </x:c>
      <x:c r="E33" s="32" t="n">
        <x:v>0.3076923076923077</x:v>
      </x:c>
      <x:c r="F33" s="26" t="str">
        <x:v>Selectiva</x:v>
      </x:c>
      <x:c r="G33" s="26" t="str"/>
      <x:c r="H33" s="26" t="str">
        <x:v>REQUISITO_GRADUACION</x:v>
      </x:c>
      <x:c r="I33" s="26" t="n">
        <x:v>0</x:v>
      </x:c>
      <x:c r="J33" s="32" t="n">
        <x:v>0</x:v>
      </x:c>
      <x:c r="K33" s="26" t="str">
        <x:v>AGRD700 Agroplasticultura</x:v>
      </x:c>
      <x:c r="L33" s="26" t="str"/>
      <x:c r="M33" s="26" t="str"/>
      <x:c r="N33" s="26" t="str">
        <x:v>SOLO_REQUISITO_GRADUACION</x:v>
      </x:c>
      <x:c r="O33" s="26" t="str">
        <x:v>La cobertura es ambigua mediante Polímeros/Agroplasticultura; rediseñar hacia envases, biomateriales y packaging sostenible.</x:v>
      </x:c>
      <x:c r="P33" s="26" t="str">
        <x:v>Revisar PEA/guías vigentes si la decisión implica fusión, sustitución o eliminación; la ausencia documental de contenidos no se interpreta como ausencia real.</x:v>
      </x:c>
    </x:row>
    <x:row r="34">
      <x:c r="A34" s="26" t="str">
        <x:v>Media</x:v>
      </x:c>
      <x:c r="B34" s="26" t="str">
        <x:v>REFORZAR</x:v>
      </x:c>
      <x:c r="C34" s="26" t="str">
        <x:v>F1501</x:v>
      </x:c>
      <x:c r="D34" s="26" t="str">
        <x:v>Proyecto de ingeniería / oficina técnica</x:v>
      </x:c>
      <x:c r="E34" s="32" t="n">
        <x:v>0.3076923076923077</x:v>
      </x:c>
      <x:c r="F34" s="26" t="str">
        <x:v>Selectiva</x:v>
      </x:c>
      <x:c r="G34" s="26" t="str"/>
      <x:c r="H34" s="26" t="str">
        <x:v>CORE_PRINCIPAL</x:v>
      </x:c>
      <x:c r="I34" s="26" t="n">
        <x:v>1</x:v>
      </x:c>
      <x:c r="J34" s="32" t="n">
        <x:v>0.007407407407407408</x:v>
      </x:c>
      <x:c r="K34" s="26" t="str">
        <x:v>TITD101 Diseño de Trabajo de Integración Curricular / Preparación Examen de Carácter Complexivo</x:v>
      </x:c>
      <x:c r="L34" s="26" t="str"/>
      <x:c r="M34" s="26" t="str"/>
      <x:c r="N34" s="26" t="str">
        <x:v>COBERTURA_PRESENTE_PERO_INSUFICIENTE/ACTUALIZAR</x:v>
      </x:c>
      <x:c r="O34" s="26" t="str">
        <x:v>La familia ya está en la malla, pero graduados/empleadores o el perfil actualizado demandan mayor profundidad, práctica o actualidad.</x:v>
      </x:c>
      <x:c r="P34" s="26" t="str">
        <x:v>Revisar PEA/guías vigentes si la decisión implica fusión, sustitución o eliminación; la ausencia documental de contenidos no se interpreta como ausencia real.</x:v>
      </x:c>
    </x:row>
    <x:row r="35">
      <x:c r="A35" s="26" t="str">
        <x:v>Media</x:v>
      </x:c>
      <x:c r="B35" s="26" t="str">
        <x:v>REFORZAR</x:v>
      </x:c>
      <x:c r="C35" s="26" t="str">
        <x:v>F1502</x:v>
      </x:c>
      <x:c r="D35" s="26" t="str">
        <x:v>Proyecto integrador / capstone</x:v>
      </x:c>
      <x:c r="E35" s="32" t="n">
        <x:v>0</x:v>
      </x:c>
      <x:c r="F35" s="26" t="str">
        <x:v>Baja prevalencia</x:v>
      </x:c>
      <x:c r="G35" s="26" t="str"/>
      <x:c r="H35" s="26" t="str">
        <x:v>CORE_PRINCIPAL</x:v>
      </x:c>
      <x:c r="I35" s="26" t="n">
        <x:v>5</x:v>
      </x:c>
      <x:c r="J35" s="32" t="n">
        <x:v>0.037037037037037035</x:v>
      </x:c>
      <x:c r="K35" s="26" t="str">
        <x:v>TITD201 Trabajo de Integración Curricular / Examen de Carácter Complexivo</x:v>
      </x:c>
      <x:c r="L35" s="26" t="str"/>
      <x:c r="M35" s="26" t="str"/>
      <x:c r="N35" s="26" t="str">
        <x:v>COBERTURA_PRESENTE_PERO_INSUFICIENTE/ACTUALIZAR</x:v>
      </x:c>
      <x:c r="O35" s="26" t="str">
        <x:v>La familia ya está en la malla, pero graduados/empleadores o el perfil actualizado demandan mayor profundidad, práctica o actualidad.</x:v>
      </x:c>
      <x:c r="P35" s="26" t="str">
        <x:v>Revisar PEA/guías vigentes si la decisión implica fusión, sustitución o eliminación; la ausencia documental de contenidos no se interpreta como ausencia real.</x:v>
      </x:c>
    </x:row>
    <x:row r="36">
      <x:c r="A36" s="26" t="str">
        <x:v>Media</x:v>
      </x:c>
      <x:c r="B36" s="26" t="str">
        <x:v>INTEGRAR</x:v>
      </x:c>
      <x:c r="C36" s="26" t="str">
        <x:v>F0601</x:v>
      </x:c>
      <x:c r="D36" s="26" t="str">
        <x:v>Química y bioquímica de alimentos</x:v>
      </x:c>
      <x:c r="E36" s="32" t="n">
        <x:v>0.5384615384615384</x:v>
      </x:c>
      <x:c r="F36" s="26" t="str">
        <x:v>Consolidada</x:v>
      </x:c>
      <x:c r="G36" s="26" t="str"/>
      <x:c r="H36" s="26" t="str">
        <x:v>AUSENTE</x:v>
      </x:c>
      <x:c r="I36" s="26" t="n">
        <x:v>0</x:v>
      </x:c>
      <x:c r="J36" s="32" t="n">
        <x:v>0</x:v>
      </x:c>
      <x:c r="K36" s="26" t="str"/>
      <x:c r="L36" s="26" t="str"/>
      <x:c r="M36" s="26" t="str"/>
      <x:c r="N36" s="26" t="str">
        <x:v>AUSENCIA</x:v>
      </x:c>
      <x:c r="O36" s="26" t="str">
        <x:v>Verificar e integrar química/bioquímica de alimentos entre Análisis de Alimentos, Bioquímica, Química Bioorgánica e Ingeniería de Alimentos antes de crear una asignatura adicional.</x:v>
      </x:c>
      <x:c r="P36" s="26" t="str">
        <x:v>Revisar PEA/guías vigentes si la decisión implica fusión, sustitución o eliminación; la ausencia documental de contenidos no se interpreta como ausencia real.</x:v>
      </x:c>
    </x:row>
    <x:row r="37">
      <x:c r="A37" s="26" t="str">
        <x:v>Media</x:v>
      </x:c>
      <x:c r="B37" s="26" t="str">
        <x:v>INTEGRAR</x:v>
      </x:c>
      <x:c r="C37" s="26" t="str">
        <x:v>F0908</x:v>
      </x:c>
      <x:c r="D37" s="26" t="str">
        <x:v>Sistemas energéticos y utilidades térmicas</x:v>
      </x:c>
      <x:c r="E37" s="32" t="n">
        <x:v>0.38461538461538464</x:v>
      </x:c>
      <x:c r="F37" s="26" t="str">
        <x:v>Selectiva</x:v>
      </x:c>
      <x:c r="G37" s="26" t="str"/>
      <x:c r="H37" s="26" t="str">
        <x:v>AUSENTE</x:v>
      </x:c>
      <x:c r="I37" s="26" t="n">
        <x:v>0</x:v>
      </x:c>
      <x:c r="J37" s="32" t="n">
        <x:v>0</x:v>
      </x:c>
      <x:c r="K37" s="26" t="str"/>
      <x:c r="L37" s="26" t="str"/>
      <x:c r="M37" s="26" t="str"/>
      <x:c r="N37" s="26" t="str">
        <x:v>AUSENCIA</x:v>
      </x:c>
      <x:c r="O37" s="26" t="str">
        <x:v>Demanda EPN/perfil relevante; incorporar como resultado transversal o módulo antes de crear una asignatura independiente.</x:v>
      </x:c>
      <x:c r="P37" s="26" t="str">
        <x:v>Revisar PEA/guías vigentes si la decisión implica fusión, sustitución o eliminación; la ausencia documental de contenidos no se interpreta como ausencia real.</x:v>
      </x:c>
    </x:row>
    <x:row r="38">
      <x:c r="A38" s="26" t="str">
        <x:v>Media</x:v>
      </x:c>
      <x:c r="B38" s="26" t="str">
        <x:v>INTEGRAR</x:v>
      </x:c>
      <x:c r="C38" s="26" t="str">
        <x:v>F0805</x:v>
      </x:c>
      <x:c r="D38" s="26" t="str">
        <x:v>Higiene, saneamiento y diseño higiénico</x:v>
      </x:c>
      <x:c r="E38" s="32" t="n">
        <x:v>0.23076923076923078</x:v>
      </x:c>
      <x:c r="F38" s="26" t="str">
        <x:v>Baja prevalencia</x:v>
      </x:c>
      <x:c r="G38" s="26" t="str">
        <x:v>Nicho / especialización</x:v>
      </x:c>
      <x:c r="H38" s="26" t="str">
        <x:v>AUSENTE</x:v>
      </x:c>
      <x:c r="I38" s="26" t="n">
        <x:v>0</x:v>
      </x:c>
      <x:c r="J38" s="32" t="n">
        <x:v>0</x:v>
      </x:c>
      <x:c r="K38" s="26" t="str"/>
      <x:c r="L38" s="26" t="str"/>
      <x:c r="M38" s="26" t="str"/>
      <x:c r="N38" s="26" t="str">
        <x:v>AUSENCIA</x:v>
      </x:c>
      <x:c r="O38" s="26" t="str">
        <x:v>Demanda EPN/perfil relevante; incorporar como resultado transversal o módulo antes de crear una asignatura independiente.</x:v>
      </x:c>
      <x:c r="P38" s="26" t="str">
        <x:v>Revisar PEA/guías vigentes si la decisión implica fusión, sustitución o eliminación; la ausencia documental de contenidos no se interpreta como ausencia real.</x:v>
      </x:c>
    </x:row>
    <x:row r="39">
      <x:c r="A39" s="26" t="str">
        <x:v>Media</x:v>
      </x:c>
      <x:c r="B39" s="26" t="str">
        <x:v>INTEGRAR</x:v>
      </x:c>
      <x:c r="C39" s="26" t="str">
        <x:v>F0807</x:v>
      </x:c>
      <x:c r="D39" s="26" t="str">
        <x:v>Trazabilidad, certificación y auditoría</x:v>
      </x:c>
      <x:c r="E39" s="32" t="n">
        <x:v>0</x:v>
      </x:c>
      <x:c r="F39" s="26" t="str">
        <x:v>Baja prevalencia</x:v>
      </x:c>
      <x:c r="G39" s="26" t="str"/>
      <x:c r="H39" s="26" t="str">
        <x:v>AUSENTE</x:v>
      </x:c>
      <x:c r="I39" s="26" t="n">
        <x:v>0</x:v>
      </x:c>
      <x:c r="J39" s="32" t="n">
        <x:v>0</x:v>
      </x:c>
      <x:c r="K39" s="26" t="str"/>
      <x:c r="L39" s="26" t="str"/>
      <x:c r="M39" s="26" t="str"/>
      <x:c r="N39" s="26" t="str">
        <x:v>AUSENCIA</x:v>
      </x:c>
      <x:c r="O39" s="26" t="str">
        <x:v>Demanda EPN/perfil relevante; incorporar como resultado transversal o módulo antes de crear una asignatura independiente.</x:v>
      </x:c>
      <x:c r="P39" s="26" t="str">
        <x:v>Revisar PEA/guías vigentes si la decisión implica fusión, sustitución o eliminación; la ausencia documental de contenidos no se interpreta como ausencia real.</x:v>
      </x:c>
    </x:row>
  </x:sheetData>
  <x:conditionalFormatting sqref="A2:A39">
    <x:cfRule type="expression" dxfId="3" priority="1">
      <x:formula>OR(A2="Crítica",A2="Muy alta")</x:formula>
    </x:cfRule>
  </x:conditionalFormatting>
  <x:conditionalFormatting sqref="B2:B39">
    <x:cfRule type="expression" dxfId="4" priority="2">
      <x:formula>B2="AÑADIR"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60" hidden="0" customWidth="1"/>
    <x:col min="16" max="16" width="60" hidden="0" customWidth="1"/>
  </x:cols>
  <x:sheetData>
    <x:row r="1">
      <x:c r="A1" s="14" t="str">
        <x:v>Codigo</x:v>
      </x:c>
      <x:c r="B1" s="14" t="str">
        <x:v>Asignatura</x:v>
      </x:c>
      <x:c r="C1" s="14" t="str">
        <x:v>Tipo_registro</x:v>
      </x:c>
      <x:c r="D1" s="14" t="str">
        <x:v>Periodo</x:v>
      </x:c>
      <x:c r="E1" s="14" t="str">
        <x:v>Creditos</x:v>
      </x:c>
      <x:c r="F1" s="14" t="str">
        <x:v>Familia_Principal</x:v>
      </x:c>
      <x:c r="G1" s="14" t="str">
        <x:v>Familia</x:v>
      </x:c>
      <x:c r="H1" s="14" t="str">
        <x:v>Familias_Secundarias</x:v>
      </x:c>
      <x:c r="I1" s="14" t="str">
        <x:v>Profundidad</x:v>
      </x:c>
      <x:c r="J1" s="14" t="str">
        <x:v>Confianza_Normalizacion</x:v>
      </x:c>
      <x:c r="K1" s="14" t="str">
        <x:v>Estado_Normalizacion</x:v>
      </x:c>
      <x:c r="L1" s="14" t="str">
        <x:v>Lab_Explicito_2026</x:v>
      </x:c>
      <x:c r="M1" s="14" t="str">
        <x:v>Accion_Asignatura</x:v>
      </x:c>
      <x:c r="N1" s="14" t="str">
        <x:v>Prioridad</x:v>
      </x:c>
      <x:c r="O1" s="14" t="str">
        <x:v>Justificacion</x:v>
      </x:c>
      <x:c r="P1" s="14" t="str">
        <x:v>Nota_Normalizacion</x:v>
      </x:c>
    </x:row>
    <x:row r="2">
      <x:c r="A2" s="26" t="str">
        <x:v>MATD113</x:v>
      </x:c>
      <x:c r="B2" s="26" t="str">
        <x:v>Álgebra Lineal</x:v>
      </x:c>
      <x:c r="C2" s="26" t="str">
        <x:v>MALLA_CORE</x:v>
      </x:c>
      <x:c r="D2" s="26" t="n">
        <x:v>1</x:v>
      </x:c>
      <x:c r="E2" s="26" t="n">
        <x:v>3</x:v>
      </x:c>
      <x:c r="F2" s="26" t="str">
        <x:v>F0102</x:v>
      </x:c>
      <x:c r="G2" s="26" t="str">
        <x:v>Álgebra lineal y geometría</x:v>
      </x:c>
      <x:c r="H2" s="26" t="str"/>
      <x:c r="I2" s="26" t="str">
        <x:v>N1</x:v>
      </x:c>
      <x:c r="J2" s="26" t="str">
        <x:v>Alta</x:v>
      </x:c>
      <x:c r="K2" s="26" t="str">
        <x:v>APROBADO</x:v>
      </x:c>
      <x:c r="L2" s="26" t="str">
        <x:v>No</x:v>
      </x:c>
      <x:c r="M2" s="26" t="str">
        <x:v>MANTENER</x:v>
      </x:c>
      <x:c r="N2" s="26" t="str">
        <x:v>Media</x:v>
      </x:c>
      <x:c r="O2" s="26" t="str">
        <x:v>Cobertura explícita en la malla EPN y sin brecha prioritaria suficiente para justificar aumento de carga.</x:v>
      </x:c>
      <x:c r="P2" s="26" t="str">
        <x:v>Álgebra lineal explícita.</x:v>
      </x:c>
    </x:row>
    <x:row r="3">
      <x:c r="A3" s="26" t="str">
        <x:v>MATD123</x:v>
      </x:c>
      <x:c r="B3" s="26" t="str">
        <x:v>Cálculo en una Variable</x:v>
      </x:c>
      <x:c r="C3" s="26" t="str">
        <x:v>MALLA_CORE</x:v>
      </x:c>
      <x:c r="D3" s="26" t="n">
        <x:v>1</x:v>
      </x:c>
      <x:c r="E3" s="26" t="n">
        <x:v>3</x:v>
      </x:c>
      <x:c r="F3" s="26" t="str">
        <x:v>F0101</x:v>
      </x:c>
      <x:c r="G3" s="26" t="str">
        <x:v>Cálculo y matemática general</x:v>
      </x:c>
      <x:c r="H3" s="26" t="str"/>
      <x:c r="I3" s="26" t="str">
        <x:v>N1</x:v>
      </x:c>
      <x:c r="J3" s="26" t="str">
        <x:v>Alta</x:v>
      </x:c>
      <x:c r="K3" s="26" t="str">
        <x:v>APROBADO</x:v>
      </x:c>
      <x:c r="L3" s="26" t="str">
        <x:v>No</x:v>
      </x:c>
      <x:c r="M3" s="26" t="str">
        <x:v>MANTENER</x:v>
      </x:c>
      <x:c r="N3" s="26" t="str">
        <x:v>Media</x:v>
      </x:c>
      <x:c r="O3" s="26" t="str">
        <x:v>Cobertura explícita en la malla EPN y sin brecha prioritaria suficiente para justificar aumento de carga.</x:v>
      </x:c>
      <x:c r="P3" s="26" t="str">
        <x:v>Cálculo explícito.</x:v>
      </x:c>
    </x:row>
    <x:row r="4">
      <x:c r="A4" s="26" t="str">
        <x:v>FISD134</x:v>
      </x:c>
      <x:c r="B4" s="26" t="str">
        <x:v>Mecánica Newtoniana</x:v>
      </x:c>
      <x:c r="C4" s="26" t="str">
        <x:v>MALLA_CORE</x:v>
      </x:c>
      <x:c r="D4" s="26" t="n">
        <x:v>1</x:v>
      </x:c>
      <x:c r="E4" s="26" t="n">
        <x:v>4</x:v>
      </x:c>
      <x:c r="F4" s="26" t="str">
        <x:v>F0201</x:v>
      </x:c>
      <x:c r="G4" s="26" t="str">
        <x:v>Física general y aplicada</x:v>
      </x:c>
      <x:c r="H4" s="26" t="str"/>
      <x:c r="I4" s="26" t="str">
        <x:v>N1</x:v>
      </x:c>
      <x:c r="J4" s="26" t="str">
        <x:v>Alta</x:v>
      </x:c>
      <x:c r="K4" s="26" t="str">
        <x:v>APROBADO</x:v>
      </x:c>
      <x:c r="L4" s="26" t="str">
        <x:v>Sí</x:v>
      </x:c>
      <x:c r="M4" s="26" t="str">
        <x:v>MANTENER</x:v>
      </x:c>
      <x:c r="N4" s="26" t="str">
        <x:v>Media</x:v>
      </x:c>
      <x:c r="O4" s="26" t="str">
        <x:v>Cobertura explícita en la malla EPN y sin brecha prioritaria suficiente para justificar aumento de carga.</x:v>
      </x:c>
      <x:c r="P4" s="26" t="str">
        <x:v>Física/mecánica general.</x:v>
      </x:c>
    </x:row>
    <x:row r="5">
      <x:c r="A5" s="26" t="str">
        <x:v>QUID143</x:v>
      </x:c>
      <x:c r="B5" s="26" t="str">
        <x:v>Química General</x:v>
      </x:c>
      <x:c r="C5" s="26" t="str">
        <x:v>MALLA_CORE</x:v>
      </x:c>
      <x:c r="D5" s="26" t="n">
        <x:v>1</x:v>
      </x:c>
      <x:c r="E5" s="26" t="n">
        <x:v>3</x:v>
      </x:c>
      <x:c r="F5" s="26" t="str">
        <x:v>F0202</x:v>
      </x:c>
      <x:c r="G5" s="26" t="str">
        <x:v>Química general e inorgánica</x:v>
      </x:c>
      <x:c r="H5" s="26" t="str"/>
      <x:c r="I5" s="26" t="str">
        <x:v>N1</x:v>
      </x:c>
      <x:c r="J5" s="26" t="str">
        <x:v>Alta</x:v>
      </x:c>
      <x:c r="K5" s="26" t="str">
        <x:v>APROBADO</x:v>
      </x:c>
      <x:c r="L5" s="26" t="str">
        <x:v>No</x:v>
      </x:c>
      <x:c r="M5" s="26" t="str">
        <x:v>MANTENER</x:v>
      </x:c>
      <x:c r="N5" s="26" t="str">
        <x:v>Media</x:v>
      </x:c>
      <x:c r="O5" s="26" t="str">
        <x:v>Cobertura explícita en la malla EPN y sin brecha prioritaria suficiente para justificar aumento de carga.</x:v>
      </x:c>
      <x:c r="P5" s="26" t="str">
        <x:v>Química general explícita.</x:v>
      </x:c>
    </x:row>
    <x:row r="6">
      <x:c r="A6" s="26" t="str">
        <x:v>ICOD111</x:v>
      </x:c>
      <x:c r="B6" s="26" t="str">
        <x:v>Herramientas Informáticas</x:v>
      </x:c>
      <x:c r="C6" s="26" t="str">
        <x:v>MALLA_CORE</x:v>
      </x:c>
      <x:c r="D6" s="26" t="n">
        <x:v>1</x:v>
      </x:c>
      <x:c r="E6" s="26" t="n">
        <x:v>1</x:v>
      </x:c>
      <x:c r="F6" s="26" t="str">
        <x:v>F0107</x:v>
      </x:c>
      <x:c r="G6" s="26" t="str">
        <x:v>Informática, bases de datos y software</x:v>
      </x:c>
      <x:c r="H6" s="26" t="str"/>
      <x:c r="I6" s="26" t="str">
        <x:v>N1</x:v>
      </x:c>
      <x:c r="J6" s="26" t="str">
        <x:v>Alta</x:v>
      </x:c>
      <x:c r="K6" s="26" t="str">
        <x:v>APROBADO</x:v>
      </x:c>
      <x:c r="L6" s="26" t="str">
        <x:v>No</x:v>
      </x:c>
      <x:c r="M6" s="26" t="str">
        <x:v>MANTENER</x:v>
      </x:c>
      <x:c r="N6" s="26" t="str">
        <x:v>Media</x:v>
      </x:c>
      <x:c r="O6" s="26" t="str">
        <x:v>Cobertura explícita en la malla EPN y sin brecha prioritaria suficiente para justificar aumento de carga.</x:v>
      </x:c>
      <x:c r="P6" s="26" t="str">
        <x:v>Herramientas informáticas/software.</x:v>
      </x:c>
    </x:row>
    <x:row r="7">
      <x:c r="A7" s="26" t="str">
        <x:v>CSHD111</x:v>
      </x:c>
      <x:c r="B7" s="26" t="str">
        <x:v>Comunicación Oral y Escrita</x:v>
      </x:c>
      <x:c r="C7" s="26" t="str">
        <x:v>MALLA_CORE</x:v>
      </x:c>
      <x:c r="D7" s="26" t="n">
        <x:v>1</x:v>
      </x:c>
      <x:c r="E7" s="26" t="n">
        <x:v>1</x:v>
      </x:c>
      <x:c r="F7" s="26" t="str">
        <x:v>F1602</x:v>
      </x:c>
      <x:c r="G7" s="26" t="str">
        <x:v>Comunicación académica y profesional</x:v>
      </x:c>
      <x:c r="H7" s="26" t="str"/>
      <x:c r="I7" s="26" t="str">
        <x:v>N1</x:v>
      </x:c>
      <x:c r="J7" s="26" t="str">
        <x:v>Alta</x:v>
      </x:c>
      <x:c r="K7" s="26" t="str">
        <x:v>APROBADO</x:v>
      </x:c>
      <x:c r="L7" s="26" t="str">
        <x:v>No</x:v>
      </x:c>
      <x:c r="M7" s="26" t="str">
        <x:v>REFORZAR</x:v>
      </x:c>
      <x:c r="N7" s="26" t="str">
        <x:v>Muy alta</x:v>
      </x:c>
      <x:c r="O7" s="26" t="str">
        <x:v>Mantener comunicación y reforzarla transversalmente en reportes, presentaciones y proyectos.</x:v>
      </x:c>
      <x:c r="P7" s="26" t="str">
        <x:v>Comunicación oral y escrita.</x:v>
      </x:c>
    </x:row>
    <x:row r="8">
      <x:c r="A8" s="26" t="str">
        <x:v>MATD223</x:v>
      </x:c>
      <x:c r="B8" s="26" t="str">
        <x:v>Probabilidad y Estadística Básicas</x:v>
      </x:c>
      <x:c r="C8" s="26" t="str">
        <x:v>MALLA_CORE</x:v>
      </x:c>
      <x:c r="D8" s="26" t="n">
        <x:v>2</x:v>
      </x:c>
      <x:c r="E8" s="26" t="n">
        <x:v>3</x:v>
      </x:c>
      <x:c r="F8" s="26" t="str">
        <x:v>F0104</x:v>
      </x:c>
      <x:c r="G8" s="26" t="str">
        <x:v>Estadística y probabilidad</x:v>
      </x:c>
      <x:c r="H8" s="26" t="str"/>
      <x:c r="I8" s="26" t="str">
        <x:v>N1</x:v>
      </x:c>
      <x:c r="J8" s="26" t="str">
        <x:v>Alta</x:v>
      </x:c>
      <x:c r="K8" s="26" t="str">
        <x:v>APROBADO</x:v>
      </x:c>
      <x:c r="L8" s="26" t="str">
        <x:v>No</x:v>
      </x:c>
      <x:c r="M8" s="26" t="str">
        <x:v>MANTENER</x:v>
      </x:c>
      <x:c r="N8" s="26" t="str">
        <x:v>Media</x:v>
      </x:c>
      <x:c r="O8" s="26" t="str">
        <x:v>Cobertura explícita en la malla EPN y sin brecha prioritaria suficiente para justificar aumento de carga.</x:v>
      </x:c>
      <x:c r="P8" s="26" t="str">
        <x:v>Probabilidad y estadística explícitas.</x:v>
      </x:c>
    </x:row>
    <x:row r="9">
      <x:c r="A9" s="26" t="str">
        <x:v>IAQD222</x:v>
      </x:c>
      <x:c r="B9" s="26" t="str">
        <x:v>Matemática Aplicada en Ingeniería I</x:v>
      </x:c>
      <x:c r="C9" s="26" t="str">
        <x:v>MALLA_CORE</x:v>
      </x:c>
      <x:c r="D9" s="26" t="n">
        <x:v>2</x:v>
      </x:c>
      <x:c r="E9" s="26" t="n">
        <x:v>2</x:v>
      </x:c>
      <x:c r="F9" s="26" t="str">
        <x:v>F0101</x:v>
      </x:c>
      <x:c r="G9" s="26" t="str">
        <x:v>Cálculo y matemática general</x:v>
      </x:c>
      <x:c r="H9" s="26" t="str"/>
      <x:c r="I9" s="26" t="str">
        <x:v>N1</x:v>
      </x:c>
      <x:c r="J9" s="26" t="str">
        <x:v>Media</x:v>
      </x:c>
      <x:c r="K9" s="26" t="str">
        <x:v>APROBADO</x:v>
      </x:c>
      <x:c r="L9" s="26" t="str">
        <x:v>No</x:v>
      </x:c>
      <x:c r="M9" s="26" t="str">
        <x:v>MANTENER</x:v>
      </x:c>
      <x:c r="N9" s="26" t="str">
        <x:v>Media</x:v>
      </x:c>
      <x:c r="O9" s="26" t="str">
        <x:v>Cobertura explícita en la malla EPN y sin brecha prioritaria suficiente para justificar aumento de carga.</x:v>
      </x:c>
      <x:c r="P9" s="26" t="str">
        <x:v>Matemática aplicada; familia amplia de matemática general.</x:v>
      </x:c>
    </x:row>
    <x:row r="10">
      <x:c r="A10" s="26" t="str">
        <x:v>MATD213</x:v>
      </x:c>
      <x:c r="B10" s="26" t="str">
        <x:v>Ecuaciones Diferenciales Ordinarias</x:v>
      </x:c>
      <x:c r="C10" s="26" t="str">
        <x:v>MALLA_CORE</x:v>
      </x:c>
      <x:c r="D10" s="26" t="n">
        <x:v>2</x:v>
      </x:c>
      <x:c r="E10" s="26" t="n">
        <x:v>3</x:v>
      </x:c>
      <x:c r="F10" s="26" t="str">
        <x:v>F0103</x:v>
      </x:c>
      <x:c r="G10" s="26" t="str">
        <x:v>Ecuaciones diferenciales y modelización matemática</x:v>
      </x:c>
      <x:c r="H10" s="26" t="str"/>
      <x:c r="I10" s="26" t="str">
        <x:v>N1</x:v>
      </x:c>
      <x:c r="J10" s="26" t="str">
        <x:v>Alta</x:v>
      </x:c>
      <x:c r="K10" s="26" t="str">
        <x:v>APROBADO</x:v>
      </x:c>
      <x:c r="L10" s="26" t="str">
        <x:v>No</x:v>
      </x:c>
      <x:c r="M10" s="26" t="str">
        <x:v>MANTENER</x:v>
      </x:c>
      <x:c r="N10" s="26" t="str">
        <x:v>Media</x:v>
      </x:c>
      <x:c r="O10" s="26" t="str">
        <x:v>Cobertura explícita en la malla EPN y sin brecha prioritaria suficiente para justificar aumento de carga.</x:v>
      </x:c>
      <x:c r="P10" s="26" t="str">
        <x:v>Ecuaciones diferenciales explícitas.</x:v>
      </x:c>
    </x:row>
    <x:row r="11">
      <x:c r="A11" s="26" t="str">
        <x:v>IAQD242</x:v>
      </x:c>
      <x:c r="B11" s="26" t="str">
        <x:v>Física para Ingeniería</x:v>
      </x:c>
      <x:c r="C11" s="26" t="str">
        <x:v>MALLA_CORE</x:v>
      </x:c>
      <x:c r="D11" s="26" t="n">
        <x:v>2</x:v>
      </x:c>
      <x:c r="E11" s="26" t="n">
        <x:v>2</x:v>
      </x:c>
      <x:c r="F11" s="26" t="str">
        <x:v>F0201</x:v>
      </x:c>
      <x:c r="G11" s="26" t="str">
        <x:v>Física general y aplicada</x:v>
      </x:c>
      <x:c r="H11" s="26" t="str"/>
      <x:c r="I11" s="26" t="str">
        <x:v>N1</x:v>
      </x:c>
      <x:c r="J11" s="26" t="str">
        <x:v>Alta</x:v>
      </x:c>
      <x:c r="K11" s="26" t="str">
        <x:v>APROBADO</x:v>
      </x:c>
      <x:c r="L11" s="26" t="str">
        <x:v>No</x:v>
      </x:c>
      <x:c r="M11" s="26" t="str">
        <x:v>MANTENER</x:v>
      </x:c>
      <x:c r="N11" s="26" t="str">
        <x:v>Media</x:v>
      </x:c>
      <x:c r="O11" s="26" t="str">
        <x:v>Cobertura explícita en la malla EPN y sin brecha prioritaria suficiente para justificar aumento de carga.</x:v>
      </x:c>
      <x:c r="P11" s="26" t="str">
        <x:v>Física aplicada a ingeniería.</x:v>
      </x:c>
    </x:row>
    <x:row r="12">
      <x:c r="A12" s="26" t="str">
        <x:v>IAQD253</x:v>
      </x:c>
      <x:c r="B12" s="26" t="str">
        <x:v>Química Avanzada</x:v>
      </x:c>
      <x:c r="C12" s="26" t="str">
        <x:v>MALLA_CORE</x:v>
      </x:c>
      <x:c r="D12" s="26" t="n">
        <x:v>2</x:v>
      </x:c>
      <x:c r="E12" s="26" t="n">
        <x:v>3</x:v>
      </x:c>
      <x:c r="F12" s="26" t="str">
        <x:v>F0202</x:v>
      </x:c>
      <x:c r="G12" s="26" t="str">
        <x:v>Química general e inorgánica</x:v>
      </x:c>
      <x:c r="H12" s="26" t="str"/>
      <x:c r="I12" s="26" t="str">
        <x:v>N1</x:v>
      </x:c>
      <x:c r="J12" s="26" t="str">
        <x:v>Media</x:v>
      </x:c>
      <x:c r="K12" s="26" t="str">
        <x:v>APROBADO</x:v>
      </x:c>
      <x:c r="L12" s="26" t="str">
        <x:v>No</x:v>
      </x:c>
      <x:c r="M12" s="26" t="str">
        <x:v>MANTENER</x:v>
      </x:c>
      <x:c r="N12" s="26" t="str">
        <x:v>Media</x:v>
      </x:c>
      <x:c r="O12" s="26" t="str">
        <x:v>Cobertura explícita en la malla EPN y sin brecha prioritaria suficiente para justificar aumento de carga.</x:v>
      </x:c>
      <x:c r="P12" s="26" t="str">
        <x:v>Química avanzada; el título no permite subclasificación más específica.</x:v>
      </x:c>
    </x:row>
    <x:row r="13">
      <x:c r="A13" s="26" t="str">
        <x:v>IAQD262</x:v>
      </x:c>
      <x:c r="B13" s="26" t="str">
        <x:v>Programación</x:v>
      </x:c>
      <x:c r="C13" s="26" t="str">
        <x:v>MALLA_CORE</x:v>
      </x:c>
      <x:c r="D13" s="26" t="n">
        <x:v>2</x:v>
      </x:c>
      <x:c r="E13" s="26" t="n">
        <x:v>2</x:v>
      </x:c>
      <x:c r="F13" s="26" t="str">
        <x:v>F0106</x:v>
      </x:c>
      <x:c r="G13" s="26" t="str">
        <x:v>Métodos numéricos y programación</x:v>
      </x:c>
      <x:c r="H13" s="26" t="str"/>
      <x:c r="I13" s="26" t="str">
        <x:v>N1</x:v>
      </x:c>
      <x:c r="J13" s="26" t="str">
        <x:v>Alta</x:v>
      </x:c>
      <x:c r="K13" s="26" t="str">
        <x:v>APROBADO</x:v>
      </x:c>
      <x:c r="L13" s="26" t="str">
        <x:v>Sí</x:v>
      </x:c>
      <x:c r="M13" s="26" t="str">
        <x:v>REFORZAR</x:v>
      </x:c>
      <x:c r="N13" s="26" t="str">
        <x:v>Muy alta</x:v>
      </x:c>
      <x:c r="O13" s="26" t="str">
        <x:v>La familia ya está en la malla, pero graduados/empleadores o el perfil actualizado demandan mayor profundidad, práctica o actualidad.</x:v>
      </x:c>
      <x:c r="P13" s="26" t="str">
        <x:v>Programación explícita.</x:v>
      </x:c>
    </x:row>
    <x:row r="14">
      <x:c r="A14" s="26" t="str">
        <x:v>IAQD312</x:v>
      </x:c>
      <x:c r="B14" s="26" t="str">
        <x:v>Matemática Aplicada en Ingeniería II</x:v>
      </x:c>
      <x:c r="C14" s="26" t="str">
        <x:v>MALLA_CORE</x:v>
      </x:c>
      <x:c r="D14" s="26" t="n">
        <x:v>3</x:v>
      </x:c>
      <x:c r="E14" s="26" t="n">
        <x:v>2</x:v>
      </x:c>
      <x:c r="F14" s="26" t="str">
        <x:v>F0101</x:v>
      </x:c>
      <x:c r="G14" s="26" t="str">
        <x:v>Cálculo y matemática general</x:v>
      </x:c>
      <x:c r="H14" s="26" t="str"/>
      <x:c r="I14" s="26" t="str">
        <x:v>N2</x:v>
      </x:c>
      <x:c r="J14" s="26" t="str">
        <x:v>Media</x:v>
      </x:c>
      <x:c r="K14" s="26" t="str">
        <x:v>APROBADO</x:v>
      </x:c>
      <x:c r="L14" s="26" t="str">
        <x:v>No</x:v>
      </x:c>
      <x:c r="M14" s="26" t="str">
        <x:v>MANTENER</x:v>
      </x:c>
      <x:c r="N14" s="26" t="str">
        <x:v>Media</x:v>
      </x:c>
      <x:c r="O14" s="26" t="str">
        <x:v>Cobertura explícita en la malla EPN y sin brecha prioritaria suficiente para justificar aumento de carga.</x:v>
      </x:c>
      <x:c r="P14" s="26" t="str">
        <x:v>Matemática aplicada II.</x:v>
      </x:c>
    </x:row>
    <x:row r="15">
      <x:c r="A15" s="26" t="str">
        <x:v>IAQD323</x:v>
      </x:c>
      <x:c r="B15" s="26" t="str">
        <x:v>Balance de Masa</x:v>
      </x:c>
      <x:c r="C15" s="26" t="str">
        <x:v>MALLA_CORE</x:v>
      </x:c>
      <x:c r="D15" s="26" t="n">
        <x:v>3</x:v>
      </x:c>
      <x:c r="E15" s="26" t="n">
        <x:v>3</x:v>
      </x:c>
      <x:c r="F15" s="26" t="str">
        <x:v>F0501</x:v>
      </x:c>
      <x:c r="G15" s="26" t="str">
        <x:v>Balances de materia y energía</x:v>
      </x:c>
      <x:c r="H15" s="26" t="str"/>
      <x:c r="I15" s="26" t="str">
        <x:v>N1</x:v>
      </x:c>
      <x:c r="J15" s="26" t="str">
        <x:v>Alta</x:v>
      </x:c>
      <x:c r="K15" s="26" t="str">
        <x:v>APROBADO</x:v>
      </x:c>
      <x:c r="L15" s="26" t="str">
        <x:v>No</x:v>
      </x:c>
      <x:c r="M15" s="26" t="str">
        <x:v>MANTENER</x:v>
      </x:c>
      <x:c r="N15" s="26" t="str">
        <x:v>Media</x:v>
      </x:c>
      <x:c r="O15" s="26" t="str">
        <x:v>Familia explícitamente coherente con la identidad ingenieril EPN; su baja frecuencia en Food Science no justifica eliminación.</x:v>
      </x:c>
      <x:c r="P15" s="26" t="str">
        <x:v>Balance de masa.</x:v>
      </x:c>
    </x:row>
    <x:row r="16">
      <x:c r="A16" s="26" t="str">
        <x:v>IAQD333</x:v>
      </x:c>
      <x:c r="B16" s="26" t="str">
        <x:v>Termodinámica I</x:v>
      </x:c>
      <x:c r="C16" s="26" t="str">
        <x:v>MALLA_CORE</x:v>
      </x:c>
      <x:c r="D16" s="26" t="n">
        <x:v>3</x:v>
      </x:c>
      <x:c r="E16" s="26" t="n">
        <x:v>3</x:v>
      </x:c>
      <x:c r="F16" s="26" t="str">
        <x:v>F0401</x:v>
      </x:c>
      <x:c r="G16" s="26" t="str">
        <x:v>Termodinámica</x:v>
      </x:c>
      <x:c r="H16" s="26" t="str"/>
      <x:c r="I16" s="26" t="str">
        <x:v>N1</x:v>
      </x:c>
      <x:c r="J16" s="26" t="str">
        <x:v>Alta</x:v>
      </x:c>
      <x:c r="K16" s="26" t="str">
        <x:v>APROBADO</x:v>
      </x:c>
      <x:c r="L16" s="26" t="str">
        <x:v>No</x:v>
      </x:c>
      <x:c r="M16" s="26" t="str">
        <x:v>MANTENER</x:v>
      </x:c>
      <x:c r="N16" s="26" t="str">
        <x:v>Media</x:v>
      </x:c>
      <x:c r="O16" s="26" t="str">
        <x:v>Familia explícitamente coherente con la identidad ingenieril EPN; su baja frecuencia en Food Science no justifica eliminación.</x:v>
      </x:c>
      <x:c r="P16" s="26" t="str">
        <x:v>Termodinámica I.</x:v>
      </x:c>
    </x:row>
    <x:row r="17">
      <x:c r="A17" s="26" t="str">
        <x:v>IAQD343</x:v>
      </x:c>
      <x:c r="B17" s="26" t="str">
        <x:v>Química Orgánica I</x:v>
      </x:c>
      <x:c r="C17" s="26" t="str">
        <x:v>MALLA_CORE</x:v>
      </x:c>
      <x:c r="D17" s="26" t="n">
        <x:v>3</x:v>
      </x:c>
      <x:c r="E17" s="26" t="n">
        <x:v>3</x:v>
      </x:c>
      <x:c r="F17" s="26" t="str">
        <x:v>F0203</x:v>
      </x:c>
      <x:c r="G17" s="26" t="str">
        <x:v>Química orgánica</x:v>
      </x:c>
      <x:c r="H17" s="26" t="str"/>
      <x:c r="I17" s="26" t="str">
        <x:v>N1</x:v>
      </x:c>
      <x:c r="J17" s="26" t="str">
        <x:v>Alta</x:v>
      </x:c>
      <x:c r="K17" s="26" t="str">
        <x:v>APROBADO</x:v>
      </x:c>
      <x:c r="L17" s="26" t="str">
        <x:v>Sí</x:v>
      </x:c>
      <x:c r="M17" s="26" t="str">
        <x:v>MANTENER</x:v>
      </x:c>
      <x:c r="N17" s="26" t="str">
        <x:v>Media</x:v>
      </x:c>
      <x:c r="O17" s="26" t="str">
        <x:v>Cobertura explícita en la malla EPN y sin brecha prioritaria suficiente para justificar aumento de carga.</x:v>
      </x:c>
      <x:c r="P17" s="26" t="str">
        <x:v>Química orgánica explícita.</x:v>
      </x:c>
    </x:row>
    <x:row r="18">
      <x:c r="A18" s="26" t="str">
        <x:v>AGRD354</x:v>
      </x:c>
      <x:c r="B18" s="26" t="str">
        <x:v>Análisis Instrumental y de Alimentos</x:v>
      </x:c>
      <x:c r="C18" s="26" t="str">
        <x:v>MALLA_CORE</x:v>
      </x:c>
      <x:c r="D18" s="26" t="n">
        <x:v>3</x:v>
      </x:c>
      <x:c r="E18" s="26" t="n">
        <x:v>4</x:v>
      </x:c>
      <x:c r="F18" s="26" t="str">
        <x:v>F0801</x:v>
      </x:c>
      <x:c r="G18" s="26" t="str">
        <x:v>Análisis químico, físico e instrumental de alimentos</x:v>
      </x:c>
      <x:c r="H18" s="26" t="str"/>
      <x:c r="I18" s="26" t="str">
        <x:v>N2</x:v>
      </x:c>
      <x:c r="J18" s="26" t="str">
        <x:v>Alta</x:v>
      </x:c>
      <x:c r="K18" s="26" t="str">
        <x:v>APROBADO</x:v>
      </x:c>
      <x:c r="L18" s="26" t="str">
        <x:v>Sí</x:v>
      </x:c>
      <x:c r="M18" s="26" t="str">
        <x:v>MANTENER</x:v>
      </x:c>
      <x:c r="N18" s="26" t="str">
        <x:v>Media</x:v>
      </x:c>
      <x:c r="O18" s="26" t="str">
        <x:v>Cobertura explícita en la malla EPN y sin brecha prioritaria suficiente para justificar aumento de carga.</x:v>
      </x:c>
      <x:c r="P18" s="26" t="str">
        <x:v>Análisis instrumental y de alimentos.</x:v>
      </x:c>
    </x:row>
    <x:row r="19">
      <x:c r="A19" s="26" t="str">
        <x:v>AGRD412</x:v>
      </x:c>
      <x:c r="B19" s="26" t="str">
        <x:v>Agroindustrias</x:v>
      </x:c>
      <x:c r="C19" s="26" t="str">
        <x:v>MALLA_CORE</x:v>
      </x:c>
      <x:c r="D19" s="26" t="n">
        <x:v>4</x:v>
      </x:c>
      <x:c r="E19" s="26" t="n">
        <x:v>2</x:v>
      </x:c>
      <x:c r="F19" s="26" t="str">
        <x:v>REVISAR</x:v>
      </x:c>
      <x:c r="G19" s="26" t="str">
        <x:v>REVISAR</x:v>
      </x:c>
      <x:c r="H19" s="26" t="str"/>
      <x:c r="I19" s="26" t="str">
        <x:v>NR</x:v>
      </x:c>
      <x:c r="J19" s="26" t="str">
        <x:v>Baja</x:v>
      </x:c>
      <x:c r="K19" s="26" t="str">
        <x:v>REVISAR</x:v>
      </x:c>
      <x:c r="L19" s="26" t="str">
        <x:v>No</x:v>
      </x:c>
      <x:c r="M19" s="26" t="str">
        <x:v>MANTENER</x:v>
      </x:c>
      <x:c r="N19" s="26" t="str">
        <x:v>Media</x:v>
      </x:c>
      <x:c r="O19" s="26" t="str">
        <x:v>Mantener como introducción a cadenas/sistemas agroindustriales, pero definir alcance con PEA para evitar solapamientos.</x:v>
      </x:c>
      <x:c r="P19" s="26" t="str">
        <x:v>'Agroindustrias' es demasiado amplio para asignar una familia sin contenidos.</x:v>
      </x:c>
    </x:row>
    <x:row r="20">
      <x:c r="A20" s="26" t="str">
        <x:v>IAQD423</x:v>
      </x:c>
      <x:c r="B20" s="26" t="str">
        <x:v>Balance de Energía</x:v>
      </x:c>
      <x:c r="C20" s="26" t="str">
        <x:v>MALLA_CORE</x:v>
      </x:c>
      <x:c r="D20" s="26" t="n">
        <x:v>4</x:v>
      </x:c>
      <x:c r="E20" s="26" t="n">
        <x:v>3</x:v>
      </x:c>
      <x:c r="F20" s="26" t="str">
        <x:v>F0501</x:v>
      </x:c>
      <x:c r="G20" s="26" t="str">
        <x:v>Balances de materia y energía</x:v>
      </x:c>
      <x:c r="H20" s="26" t="str"/>
      <x:c r="I20" s="26" t="str">
        <x:v>N1</x:v>
      </x:c>
      <x:c r="J20" s="26" t="str">
        <x:v>Alta</x:v>
      </x:c>
      <x:c r="K20" s="26" t="str">
        <x:v>APROBADO</x:v>
      </x:c>
      <x:c r="L20" s="26" t="str">
        <x:v>No</x:v>
      </x:c>
      <x:c r="M20" s="26" t="str">
        <x:v>MANTENER</x:v>
      </x:c>
      <x:c r="N20" s="26" t="str">
        <x:v>Media</x:v>
      </x:c>
      <x:c r="O20" s="26" t="str">
        <x:v>Familia explícitamente coherente con la identidad ingenieril EPN; su baja frecuencia en Food Science no justifica eliminación.</x:v>
      </x:c>
      <x:c r="P20" s="26" t="str">
        <x:v>Balance de energía.</x:v>
      </x:c>
    </x:row>
    <x:row r="21">
      <x:c r="A21" s="26" t="str">
        <x:v>IAQD432</x:v>
      </x:c>
      <x:c r="B21" s="26" t="str">
        <x:v>Termodinámica II</x:v>
      </x:c>
      <x:c r="C21" s="26" t="str">
        <x:v>MALLA_CORE</x:v>
      </x:c>
      <x:c r="D21" s="26" t="n">
        <x:v>4</x:v>
      </x:c>
      <x:c r="E21" s="26" t="n">
        <x:v>2</x:v>
      </x:c>
      <x:c r="F21" s="26" t="str">
        <x:v>F0401</x:v>
      </x:c>
      <x:c r="G21" s="26" t="str">
        <x:v>Termodinámica</x:v>
      </x:c>
      <x:c r="H21" s="26" t="str"/>
      <x:c r="I21" s="26" t="str">
        <x:v>N2</x:v>
      </x:c>
      <x:c r="J21" s="26" t="str">
        <x:v>Alta</x:v>
      </x:c>
      <x:c r="K21" s="26" t="str">
        <x:v>APROBADO</x:v>
      </x:c>
      <x:c r="L21" s="26" t="str">
        <x:v>Sí</x:v>
      </x:c>
      <x:c r="M21" s="26" t="str">
        <x:v>MANTENER</x:v>
      </x:c>
      <x:c r="N21" s="26" t="str">
        <x:v>Media</x:v>
      </x:c>
      <x:c r="O21" s="26" t="str">
        <x:v>Familia explícitamente coherente con la identidad ingenieril EPN; su baja frecuencia en Food Science no justifica eliminación.</x:v>
      </x:c>
      <x:c r="P21" s="26" t="str">
        <x:v>Termodinámica II.</x:v>
      </x:c>
    </x:row>
    <x:row r="22">
      <x:c r="A22" s="26" t="str">
        <x:v>AGRD443</x:v>
      </x:c>
      <x:c r="B22" s="26" t="str">
        <x:v>Química Bioorgánica</x:v>
      </x:c>
      <x:c r="C22" s="26" t="str">
        <x:v>MALLA_CORE</x:v>
      </x:c>
      <x:c r="D22" s="26" t="n">
        <x:v>4</x:v>
      </x:c>
      <x:c r="E22" s="26" t="n">
        <x:v>3</x:v>
      </x:c>
      <x:c r="F22" s="26" t="str">
        <x:v>F0302</x:v>
      </x:c>
      <x:c r="G22" s="26" t="str">
        <x:v>Bioquímica y metabolismo</x:v>
      </x:c>
      <x:c r="H22" s="26" t="str">
        <x:v>F0203</x:v>
      </x:c>
      <x:c r="I22" s="26" t="str">
        <x:v>N2</x:v>
      </x:c>
      <x:c r="J22" s="26" t="str">
        <x:v>Media</x:v>
      </x:c>
      <x:c r="K22" s="26" t="str">
        <x:v>APROBADO</x:v>
      </x:c>
      <x:c r="L22" s="26" t="str">
        <x:v>Sí</x:v>
      </x:c>
      <x:c r="M22" s="26" t="str">
        <x:v>MANTENER</x:v>
      </x:c>
      <x:c r="N22" s="26" t="str">
        <x:v>Media</x:v>
      </x:c>
      <x:c r="O22" s="26" t="str">
        <x:v>Cobertura explícita en la malla EPN y sin brecha prioritaria suficiente para justificar aumento de carga.</x:v>
      </x:c>
      <x:c r="P22" s="26" t="str">
        <x:v>Química bioorgánica: puente bioquímica/química orgánica; principal bioquímica.</x:v>
      </x:c>
    </x:row>
    <x:row r="23">
      <x:c r="A23" s="26" t="str">
        <x:v>AGRD453</x:v>
      </x:c>
      <x:c r="B23" s="26" t="str">
        <x:v>Manejo de Suelos Agrícolas</x:v>
      </x:c>
      <x:c r="C23" s="26" t="str">
        <x:v>MALLA_CORE</x:v>
      </x:c>
      <x:c r="D23" s="26" t="n">
        <x:v>4</x:v>
      </x:c>
      <x:c r="E23" s="26" t="n">
        <x:v>3</x:v>
      </x:c>
      <x:c r="F23" s="26" t="str">
        <x:v>F1005</x:v>
      </x:c>
      <x:c r="G23" s="26" t="str">
        <x:v>Edafología, geología y climatología</x:v>
      </x:c>
      <x:c r="H23" s="26" t="str"/>
      <x:c r="I23" s="26" t="str">
        <x:v>N2</x:v>
      </x:c>
      <x:c r="J23" s="26" t="str">
        <x:v>Alta</x:v>
      </x:c>
      <x:c r="K23" s="26" t="str">
        <x:v>APROBADO</x:v>
      </x:c>
      <x:c r="L23" s="26" t="str">
        <x:v>Sí</x:v>
      </x:c>
      <x:c r="M23" s="26" t="str">
        <x:v>MANTENER</x:v>
      </x:c>
      <x:c r="N23" s="26" t="str">
        <x:v>Media</x:v>
      </x:c>
      <x:c r="O23" s="26" t="str">
        <x:v>Cobertura explícita en la malla EPN y sin brecha prioritaria suficiente para justificar aumento de carga.</x:v>
      </x:c>
      <x:c r="P23" s="26" t="str">
        <x:v>Manejo de suelos agrícolas.</x:v>
      </x:c>
    </x:row>
    <x:row r="24">
      <x:c r="A24" s="26" t="str">
        <x:v>IAQD462</x:v>
      </x:c>
      <x:c r="B24" s="26" t="str">
        <x:v>Biología</x:v>
      </x:c>
      <x:c r="C24" s="26" t="str">
        <x:v>MALLA_CORE</x:v>
      </x:c>
      <x:c r="D24" s="26" t="n">
        <x:v>4</x:v>
      </x:c>
      <x:c r="E24" s="26" t="n">
        <x:v>2</x:v>
      </x:c>
      <x:c r="F24" s="26" t="str">
        <x:v>F0301</x:v>
      </x:c>
      <x:c r="G24" s="26" t="str">
        <x:v>Biología y fisiología</x:v>
      </x:c>
      <x:c r="H24" s="26" t="str"/>
      <x:c r="I24" s="26" t="str">
        <x:v>N1</x:v>
      </x:c>
      <x:c r="J24" s="26" t="str">
        <x:v>Alta</x:v>
      </x:c>
      <x:c r="K24" s="26" t="str">
        <x:v>APROBADO</x:v>
      </x:c>
      <x:c r="L24" s="26" t="str">
        <x:v>No</x:v>
      </x:c>
      <x:c r="M24" s="26" t="str">
        <x:v>REFORZAR</x:v>
      </x:c>
      <x:c r="N24" s="26" t="str">
        <x:v>Muy alta</x:v>
      </x:c>
      <x:c r="O24" s="26" t="str">
        <x:v>La familia está presente, pero su peso obligatorio EPN es sensiblemente menor que el promedio del benchmark Core.</x:v>
      </x:c>
      <x:c r="P24" s="26" t="str">
        <x:v>Biología explícita.</x:v>
      </x:c>
    </x:row>
    <x:row r="25">
      <x:c r="A25" s="26" t="str">
        <x:v>IAQD511</x:v>
      </x:c>
      <x:c r="B25" s="26" t="str">
        <x:v>Seguridad Industrial y Salud Ocupacional</x:v>
      </x:c>
      <x:c r="C25" s="26" t="str">
        <x:v>MALLA_CORE</x:v>
      </x:c>
      <x:c r="D25" s="26" t="n">
        <x:v>5</x:v>
      </x:c>
      <x:c r="E25" s="26" t="n">
        <x:v>1</x:v>
      </x:c>
      <x:c r="F25" s="26" t="str">
        <x:v>REVISAR</x:v>
      </x:c>
      <x:c r="G25" s="26" t="str">
        <x:v>REVISAR</x:v>
      </x:c>
      <x:c r="H25" s="26" t="str"/>
      <x:c r="I25" s="26" t="str">
        <x:v>NR</x:v>
      </x:c>
      <x:c r="J25" s="26" t="str">
        <x:v>Baja</x:v>
      </x:c>
      <x:c r="K25" s="26" t="str">
        <x:v>REVISAR</x:v>
      </x:c>
      <x:c r="L25" s="26" t="str">
        <x:v>No</x:v>
      </x:c>
      <x:c r="M25" s="26" t="str">
        <x:v>RECONSIDERAR/ELIMINAR</x:v>
      </x:c>
      <x:c r="N25" s="26" t="str">
        <x:v>Alta</x:v>
      </x:c>
      <x:c r="O25" s="26" t="str">
        <x:v>Reconsiderar la formulación estrecha de seguridad ocupacional de 1 crédito; rediseñar/integrar con inocuidad, riesgos de proceso y estándares agroindustriales antes de eliminar la competencia.</x:v>
      </x:c>
      <x:c r="P25" s="26" t="str">
        <x:v>La taxonomía v1.0 no contiene una familia específica de seguridad industrial y salud ocupacional.</x:v>
      </x:c>
    </x:row>
    <x:row r="26">
      <x:c r="A26" s="26" t="str">
        <x:v>AGRD522</x:v>
      </x:c>
      <x:c r="B26" s="26" t="str">
        <x:v>Mecánica de Fluidos</x:v>
      </x:c>
      <x:c r="C26" s="26" t="str">
        <x:v>MALLA_CORE</x:v>
      </x:c>
      <x:c r="D26" s="26" t="n">
        <x:v>5</x:v>
      </x:c>
      <x:c r="E26" s="26" t="n">
        <x:v>2</x:v>
      </x:c>
      <x:c r="F26" s="26" t="str">
        <x:v>F0402</x:v>
      </x:c>
      <x:c r="G26" s="26" t="str">
        <x:v>Mecánica de fluidos e hidráulica</x:v>
      </x:c>
      <x:c r="H26" s="26" t="str"/>
      <x:c r="I26" s="26" t="str">
        <x:v>N2</x:v>
      </x:c>
      <x:c r="J26" s="26" t="str">
        <x:v>Alta</x:v>
      </x:c>
      <x:c r="K26" s="26" t="str">
        <x:v>APROBADO</x:v>
      </x:c>
      <x:c r="L26" s="26" t="str">
        <x:v>Sí</x:v>
      </x:c>
      <x:c r="M26" s="26" t="str">
        <x:v>MANTENER</x:v>
      </x:c>
      <x:c r="N26" s="26" t="str">
        <x:v>Media</x:v>
      </x:c>
      <x:c r="O26" s="26" t="str">
        <x:v>Familia explícitamente coherente con la identidad ingenieril EPN; su baja frecuencia en Food Science no justifica eliminación.</x:v>
      </x:c>
      <x:c r="P26" s="26" t="str">
        <x:v>Mecánica de fluidos.</x:v>
      </x:c>
    </x:row>
    <x:row r="27">
      <x:c r="A27" s="26" t="str">
        <x:v>AGRD534</x:v>
      </x:c>
      <x:c r="B27" s="26" t="str">
        <x:v>Transferencia de Masa y Calor</x:v>
      </x:c>
      <x:c r="C27" s="26" t="str">
        <x:v>MALLA_CORE</x:v>
      </x:c>
      <x:c r="D27" s="26" t="n">
        <x:v>5</x:v>
      </x:c>
      <x:c r="E27" s="26" t="n">
        <x:v>4</x:v>
      </x:c>
      <x:c r="F27" s="26" t="str">
        <x:v>F0403</x:v>
      </x:c>
      <x:c r="G27" s="26" t="str">
        <x:v>Transferencia de calor</x:v>
      </x:c>
      <x:c r="H27" s="26" t="str">
        <x:v>F0404</x:v>
      </x:c>
      <x:c r="I27" s="26" t="str">
        <x:v>N2</x:v>
      </x:c>
      <x:c r="J27" s="26" t="str">
        <x:v>Alta</x:v>
      </x:c>
      <x:c r="K27" s="26" t="str">
        <x:v>APROBADO</x:v>
      </x:c>
      <x:c r="L27" s="26" t="str">
        <x:v>Sí</x:v>
      </x:c>
      <x:c r="M27" s="26" t="str">
        <x:v>MANTENER</x:v>
      </x:c>
      <x:c r="N27" s="26" t="str">
        <x:v>Media</x:v>
      </x:c>
      <x:c r="O27" s="26" t="str">
        <x:v>Familia explícitamente coherente con la identidad ingenieril EPN; su baja frecuencia en Food Science no justifica eliminación.</x:v>
      </x:c>
      <x:c r="P27" s="26" t="str">
        <x:v>Asignatura combinada: principal calor; masa como secundaria para evitar doble crédito.</x:v>
      </x:c>
    </x:row>
    <x:row r="28">
      <x:c r="A28" s="26" t="str">
        <x:v>IAQD562</x:v>
      </x:c>
      <x:c r="B28" s="26" t="str">
        <x:v>Bioquímica</x:v>
      </x:c>
      <x:c r="C28" s="26" t="str">
        <x:v>MALLA_CORE</x:v>
      </x:c>
      <x:c r="D28" s="26" t="n">
        <x:v>5</x:v>
      </x:c>
      <x:c r="E28" s="26" t="n">
        <x:v>2</x:v>
      </x:c>
      <x:c r="F28" s="26" t="str">
        <x:v>F0302</x:v>
      </x:c>
      <x:c r="G28" s="26" t="str">
        <x:v>Bioquímica y metabolismo</x:v>
      </x:c>
      <x:c r="H28" s="26" t="str"/>
      <x:c r="I28" s="26" t="str">
        <x:v>N1</x:v>
      </x:c>
      <x:c r="J28" s="26" t="str">
        <x:v>Alta</x:v>
      </x:c>
      <x:c r="K28" s="26" t="str">
        <x:v>APROBADO</x:v>
      </x:c>
      <x:c r="L28" s="26" t="str">
        <x:v>Sí</x:v>
      </x:c>
      <x:c r="M28" s="26" t="str">
        <x:v>MANTENER</x:v>
      </x:c>
      <x:c r="N28" s="26" t="str">
        <x:v>Media</x:v>
      </x:c>
      <x:c r="O28" s="26" t="str">
        <x:v>Cobertura explícita en la malla EPN y sin brecha prioritaria suficiente para justificar aumento de carga.</x:v>
      </x:c>
      <x:c r="P28" s="26" t="str">
        <x:v>Bioquímica explícita.</x:v>
      </x:c>
    </x:row>
    <x:row r="29">
      <x:c r="A29" s="26" t="str">
        <x:v>AGRD553</x:v>
      </x:c>
      <x:c r="B29" s="26" t="str">
        <x:v>Introducción a la Producción Vegetal</x:v>
      </x:c>
      <x:c r="C29" s="26" t="str">
        <x:v>MALLA_CORE</x:v>
      </x:c>
      <x:c r="D29" s="26" t="n">
        <x:v>5</x:v>
      </x:c>
      <x:c r="E29" s="26" t="n">
        <x:v>3</x:v>
      </x:c>
      <x:c r="F29" s="26" t="str">
        <x:v>F1001</x:v>
      </x:c>
      <x:c r="G29" s="26" t="str">
        <x:v>Producción vegetal y fitotecnia</x:v>
      </x:c>
      <x:c r="H29" s="26" t="str"/>
      <x:c r="I29" s="26" t="str">
        <x:v>N0</x:v>
      </x:c>
      <x:c r="J29" s="26" t="str">
        <x:v>Alta</x:v>
      </x:c>
      <x:c r="K29" s="26" t="str">
        <x:v>APROBADO</x:v>
      </x:c>
      <x:c r="L29" s="26" t="str">
        <x:v>No</x:v>
      </x:c>
      <x:c r="M29" s="26" t="str">
        <x:v>MANTENER</x:v>
      </x:c>
      <x:c r="N29" s="26" t="str">
        <x:v>Media</x:v>
      </x:c>
      <x:c r="O29" s="26" t="str">
        <x:v>Cobertura explícita en la malla EPN y sin brecha prioritaria suficiente para justificar aumento de carga.</x:v>
      </x:c>
      <x:c r="P29" s="26" t="str">
        <x:v>Introducción a producción vegetal.</x:v>
      </x:c>
    </x:row>
    <x:row r="30">
      <x:c r="A30" s="26" t="str">
        <x:v>AGRD563</x:v>
      </x:c>
      <x:c r="B30" s="26" t="str">
        <x:v>Introducción a la Producción Animal</x:v>
      </x:c>
      <x:c r="C30" s="26" t="str">
        <x:v>MALLA_CORE</x:v>
      </x:c>
      <x:c r="D30" s="26" t="n">
        <x:v>5</x:v>
      </x:c>
      <x:c r="E30" s="26" t="n">
        <x:v>3</x:v>
      </x:c>
      <x:c r="F30" s="26" t="str">
        <x:v>F1002</x:v>
      </x:c>
      <x:c r="G30" s="26" t="str">
        <x:v>Producción animal y zootecnia</x:v>
      </x:c>
      <x:c r="H30" s="26" t="str"/>
      <x:c r="I30" s="26" t="str">
        <x:v>N0</x:v>
      </x:c>
      <x:c r="J30" s="26" t="str">
        <x:v>Alta</x:v>
      </x:c>
      <x:c r="K30" s="26" t="str">
        <x:v>APROBADO</x:v>
      </x:c>
      <x:c r="L30" s="26" t="str">
        <x:v>Sí</x:v>
      </x:c>
      <x:c r="M30" s="26" t="str">
        <x:v>MANTENER</x:v>
      </x:c>
      <x:c r="N30" s="26" t="str">
        <x:v>Media</x:v>
      </x:c>
      <x:c r="O30" s="26" t="str">
        <x:v>Cobertura explícita en la malla EPN y sin brecha prioritaria suficiente para justificar aumento de carga.</x:v>
      </x:c>
      <x:c r="P30" s="26" t="str">
        <x:v>Introducción a producción animal.</x:v>
      </x:c>
    </x:row>
    <x:row r="31">
      <x:c r="A31" s="26" t="str">
        <x:v>AGRD613</x:v>
      </x:c>
      <x:c r="B31" s="26" t="str">
        <x:v>Operaciones Unitarias Agroindustriales</x:v>
      </x:c>
      <x:c r="C31" s="26" t="str">
        <x:v>MALLA_CORE</x:v>
      </x:c>
      <x:c r="D31" s="26" t="n">
        <x:v>6</x:v>
      </x:c>
      <x:c r="E31" s="26" t="n">
        <x:v>3</x:v>
      </x:c>
      <x:c r="F31" s="26" t="str">
        <x:v>F0502</x:v>
      </x:c>
      <x:c r="G31" s="26" t="str">
        <x:v>Operaciones unitarias generales</x:v>
      </x:c>
      <x:c r="H31" s="26" t="str"/>
      <x:c r="I31" s="26" t="str">
        <x:v>N2</x:v>
      </x:c>
      <x:c r="J31" s="26" t="str">
        <x:v>Alta</x:v>
      </x:c>
      <x:c r="K31" s="26" t="str">
        <x:v>APROBADO</x:v>
      </x:c>
      <x:c r="L31" s="26" t="str">
        <x:v>Sí</x:v>
      </x:c>
      <x:c r="M31" s="26" t="str">
        <x:v>REFORZAR</x:v>
      </x:c>
      <x:c r="N31" s="26" t="str">
        <x:v>Muy alta</x:v>
      </x:c>
      <x:c r="O31" s="26" t="str">
        <x:v>Familia de identidad ingenieril EPN presente, pero con señal externa/estratégica que exige mayor aplicación, integración o actualización.</x:v>
      </x:c>
      <x:c r="P31" s="26" t="str">
        <x:v>Operaciones unitarias agroindustriales.</x:v>
      </x:c>
    </x:row>
    <x:row r="32">
      <x:c r="A32" s="26" t="str">
        <x:v>AGRD623</x:v>
      </x:c>
      <x:c r="B32" s="26" t="str">
        <x:v>Microbiología Industrial y de Alimentos</x:v>
      </x:c>
      <x:c r="C32" s="26" t="str">
        <x:v>MALLA_CORE</x:v>
      </x:c>
      <x:c r="D32" s="26" t="n">
        <x:v>6</x:v>
      </x:c>
      <x:c r="E32" s="26" t="n">
        <x:v>3</x:v>
      </x:c>
      <x:c r="F32" s="26" t="str">
        <x:v>F0304</x:v>
      </x:c>
      <x:c r="G32" s="26" t="str">
        <x:v>Microbiología alimentaria e industrial</x:v>
      </x:c>
      <x:c r="H32" s="26" t="str"/>
      <x:c r="I32" s="26" t="str">
        <x:v>N2</x:v>
      </x:c>
      <x:c r="J32" s="26" t="str">
        <x:v>Alta</x:v>
      </x:c>
      <x:c r="K32" s="26" t="str">
        <x:v>APROBADO</x:v>
      </x:c>
      <x:c r="L32" s="26" t="str">
        <x:v>Sí</x:v>
      </x:c>
      <x:c r="M32" s="26" t="str">
        <x:v>MANTENER</x:v>
      </x:c>
      <x:c r="N32" s="26" t="str">
        <x:v>Media</x:v>
      </x:c>
      <x:c r="O32" s="26" t="str">
        <x:v>Cobertura explícita en la malla EPN y sin brecha prioritaria suficiente para justificar aumento de carga.</x:v>
      </x:c>
      <x:c r="P32" s="26" t="str">
        <x:v>Microbiología industrial y de alimentos.</x:v>
      </x:c>
    </x:row>
    <x:row r="33">
      <x:c r="A33" s="26" t="str">
        <x:v>AGRD633</x:v>
      </x:c>
      <x:c r="B33" s="26" t="str">
        <x:v>Producción Vegetal</x:v>
      </x:c>
      <x:c r="C33" s="26" t="str">
        <x:v>MALLA_CORE</x:v>
      </x:c>
      <x:c r="D33" s="26" t="n">
        <x:v>6</x:v>
      </x:c>
      <x:c r="E33" s="26" t="n">
        <x:v>3</x:v>
      </x:c>
      <x:c r="F33" s="26" t="str">
        <x:v>F1001</x:v>
      </x:c>
      <x:c r="G33" s="26" t="str">
        <x:v>Producción vegetal y fitotecnia</x:v>
      </x:c>
      <x:c r="H33" s="26" t="str"/>
      <x:c r="I33" s="26" t="str">
        <x:v>N2</x:v>
      </x:c>
      <x:c r="J33" s="26" t="str">
        <x:v>Alta</x:v>
      </x:c>
      <x:c r="K33" s="26" t="str">
        <x:v>APROBADO</x:v>
      </x:c>
      <x:c r="L33" s="26" t="str">
        <x:v>Sí</x:v>
      </x:c>
      <x:c r="M33" s="26" t="str">
        <x:v>MANTENER</x:v>
      </x:c>
      <x:c r="N33" s="26" t="str">
        <x:v>Media</x:v>
      </x:c>
      <x:c r="O33" s="26" t="str">
        <x:v>Cobertura explícita en la malla EPN y sin brecha prioritaria suficiente para justificar aumento de carga.</x:v>
      </x:c>
      <x:c r="P33" s="26" t="str">
        <x:v>Producción vegetal.</x:v>
      </x:c>
    </x:row>
    <x:row r="34">
      <x:c r="A34" s="26" t="str">
        <x:v>AGRD643</x:v>
      </x:c>
      <x:c r="B34" s="26" t="str">
        <x:v>Producción Animal</x:v>
      </x:c>
      <x:c r="C34" s="26" t="str">
        <x:v>MALLA_CORE</x:v>
      </x:c>
      <x:c r="D34" s="26" t="n">
        <x:v>6</x:v>
      </x:c>
      <x:c r="E34" s="26" t="n">
        <x:v>3</x:v>
      </x:c>
      <x:c r="F34" s="26" t="str">
        <x:v>F1002</x:v>
      </x:c>
      <x:c r="G34" s="26" t="str">
        <x:v>Producción animal y zootecnia</x:v>
      </x:c>
      <x:c r="H34" s="26" t="str"/>
      <x:c r="I34" s="26" t="str">
        <x:v>N2</x:v>
      </x:c>
      <x:c r="J34" s="26" t="str">
        <x:v>Alta</x:v>
      </x:c>
      <x:c r="K34" s="26" t="str">
        <x:v>APROBADO</x:v>
      </x:c>
      <x:c r="L34" s="26" t="str">
        <x:v>Sí</x:v>
      </x:c>
      <x:c r="M34" s="26" t="str">
        <x:v>MANTENER</x:v>
      </x:c>
      <x:c r="N34" s="26" t="str">
        <x:v>Media</x:v>
      </x:c>
      <x:c r="O34" s="26" t="str">
        <x:v>Cobertura explícita en la malla EPN y sin brecha prioritaria suficiente para justificar aumento de carga.</x:v>
      </x:c>
      <x:c r="P34" s="26" t="str">
        <x:v>Producción animal.</x:v>
      </x:c>
    </x:row>
    <x:row r="35">
      <x:c r="A35" s="26" t="str">
        <x:v>ADMD511</x:v>
      </x:c>
      <x:c r="B35" s="26" t="str">
        <x:v>Gestión Organizacional</x:v>
      </x:c>
      <x:c r="C35" s="26" t="str">
        <x:v>MALLA_CORE</x:v>
      </x:c>
      <x:c r="D35" s="26" t="n">
        <x:v>6</x:v>
      </x:c>
      <x:c r="E35" s="26" t="n">
        <x:v>1</x:v>
      </x:c>
      <x:c r="F35" s="26" t="str">
        <x:v>F1202</x:v>
      </x:c>
      <x:c r="G35" s="26" t="str">
        <x:v>Administración y gestión empresarial</x:v>
      </x:c>
      <x:c r="H35" s="26" t="str"/>
      <x:c r="I35" s="26" t="str">
        <x:v>N1</x:v>
      </x:c>
      <x:c r="J35" s="26" t="str">
        <x:v>Alta</x:v>
      </x:c>
      <x:c r="K35" s="26" t="str">
        <x:v>APROBADO</x:v>
      </x:c>
      <x:c r="L35" s="26" t="str">
        <x:v>No</x:v>
      </x:c>
      <x:c r="M35" s="26" t="str">
        <x:v>REFORZAR</x:v>
      </x:c>
      <x:c r="N35" s="26" t="str">
        <x:v>Alta</x:v>
      </x:c>
      <x:c r="O35" s="26" t="str">
        <x:v>La familia está presente, pero su peso obligatorio EPN es sensiblemente menor que el promedio del benchmark Core.</x:v>
      </x:c>
      <x:c r="P35" s="26" t="str">
        <x:v>Gestión organizacional.</x:v>
      </x:c>
    </x:row>
    <x:row r="36">
      <x:c r="A36" s="26" t="str">
        <x:v>CSHD211</x:v>
      </x:c>
      <x:c r="B36" s="26" t="str">
        <x:v>Análisis Socioeconómico y Político del Ecuador</x:v>
      </x:c>
      <x:c r="C36" s="26" t="str">
        <x:v>MALLA_CORE</x:v>
      </x:c>
      <x:c r="D36" s="26" t="n">
        <x:v>6</x:v>
      </x:c>
      <x:c r="E36" s="26" t="n">
        <x:v>1</x:v>
      </x:c>
      <x:c r="F36" s="26" t="str">
        <x:v>F1201</x:v>
      </x:c>
      <x:c r="G36" s="26" t="str">
        <x:v>Economía y sistemas agroalimentarios</x:v>
      </x:c>
      <x:c r="H36" s="26" t="str">
        <x:v>F1606</x:v>
      </x:c>
      <x:c r="I36" s="26" t="str">
        <x:v>N1</x:v>
      </x:c>
      <x:c r="J36" s="26" t="str">
        <x:v>Media</x:v>
      </x:c>
      <x:c r="K36" s="26" t="str">
        <x:v>APROBADO</x:v>
      </x:c>
      <x:c r="L36" s="26" t="str">
        <x:v>No</x:v>
      </x:c>
      <x:c r="M36" s="26" t="str">
        <x:v>MANTENER</x:v>
      </x:c>
      <x:c r="N36" s="26" t="str">
        <x:v>Media</x:v>
      </x:c>
      <x:c r="O36" s="26" t="str">
        <x:v>Cobertura explícita en la malla EPN y sin brecha prioritaria suficiente para justificar aumento de carga.</x:v>
      </x:c>
      <x:c r="P36" s="26" t="str">
        <x:v>Análisis socioeconómico; secundaria formación general.</x:v>
      </x:c>
    </x:row>
    <x:row r="37">
      <x:c r="A37" s="26" t="str">
        <x:v>CSHD300</x:v>
      </x:c>
      <x:c r="B37" s="26" t="str">
        <x:v>Asignatura de Artes y Humanidades</x:v>
      </x:c>
      <x:c r="C37" s="26" t="str">
        <x:v>MALLA_CORE</x:v>
      </x:c>
      <x:c r="D37" s="26" t="n">
        <x:v>6</x:v>
      </x:c>
      <x:c r="E37" s="26" t="n">
        <x:v>1</x:v>
      </x:c>
      <x:c r="F37" s="26" t="str">
        <x:v>F1606</x:v>
      </x:c>
      <x:c r="G37" s="26" t="str">
        <x:v>Humanidades, deporte y formación general</x:v>
      </x:c>
      <x:c r="H37" s="26" t="str"/>
      <x:c r="I37" s="26" t="str">
        <x:v>N1</x:v>
      </x:c>
      <x:c r="J37" s="26" t="str">
        <x:v>Alta</x:v>
      </x:c>
      <x:c r="K37" s="26" t="str">
        <x:v>APROBADO</x:v>
      </x:c>
      <x:c r="L37" s="26" t="str">
        <x:v>No</x:v>
      </x:c>
      <x:c r="M37" s="26" t="str">
        <x:v>MANTENER</x:v>
      </x:c>
      <x:c r="N37" s="26" t="str">
        <x:v>Media</x:v>
      </x:c>
      <x:c r="O37" s="26" t="str">
        <x:v>Cobertura explícita en la malla EPN y sin brecha prioritaria suficiente para justificar aumento de carga.</x:v>
      </x:c>
      <x:c r="P37" s="26" t="str">
        <x:v>Artes y humanidades.</x:v>
      </x:c>
    </x:row>
    <x:row r="38">
      <x:c r="A38" s="26" t="str">
        <x:v>IAQD722</x:v>
      </x:c>
      <x:c r="B38" s="26" t="str">
        <x:v>Evaluación de Impacto y Auditoría Ambiental</x:v>
      </x:c>
      <x:c r="C38" s="26" t="str">
        <x:v>MALLA_CORE</x:v>
      </x:c>
      <x:c r="D38" s="26" t="n">
        <x:v>7</x:v>
      </x:c>
      <x:c r="E38" s="26" t="n">
        <x:v>2</x:v>
      </x:c>
      <x:c r="F38" s="26" t="str">
        <x:v>F1101</x:v>
      </x:c>
      <x:c r="G38" s="26" t="str">
        <x:v>Ecología e impacto ambiental</x:v>
      </x:c>
      <x:c r="H38" s="26" t="str"/>
      <x:c r="I38" s="26" t="str">
        <x:v>N2</x:v>
      </x:c>
      <x:c r="J38" s="26" t="str">
        <x:v>Alta</x:v>
      </x:c>
      <x:c r="K38" s="26" t="str">
        <x:v>APROBADO</x:v>
      </x:c>
      <x:c r="L38" s="26" t="str">
        <x:v>No</x:v>
      </x:c>
      <x:c r="M38" s="26" t="str">
        <x:v>MANTENER</x:v>
      </x:c>
      <x:c r="N38" s="26" t="str">
        <x:v>Media</x:v>
      </x:c>
      <x:c r="O38" s="26" t="str">
        <x:v>Cobertura explícita en la malla EPN y sin brecha prioritaria suficiente para justificar aumento de carga.</x:v>
      </x:c>
      <x:c r="P38" s="26" t="str">
        <x:v>Impacto y auditoría ambiental.</x:v>
      </x:c>
    </x:row>
    <x:row r="39">
      <x:c r="A39" s="26" t="str">
        <x:v>AGRD723</x:v>
      </x:c>
      <x:c r="B39" s="26" t="str">
        <x:v>Bioingeniería</x:v>
      </x:c>
      <x:c r="C39" s="26" t="str">
        <x:v>MALLA_CORE</x:v>
      </x:c>
      <x:c r="D39" s="26" t="n">
        <x:v>7</x:v>
      </x:c>
      <x:c r="E39" s="26" t="n">
        <x:v>3</x:v>
      </x:c>
      <x:c r="F39" s="26" t="str">
        <x:v>F0306</x:v>
      </x:c>
      <x:c r="G39" s="26" t="str">
        <x:v>Bioprocesos y bioproducción</x:v>
      </x:c>
      <x:c r="H39" s="26" t="str">
        <x:v>F0305</x:v>
      </x:c>
      <x:c r="I39" s="26" t="str">
        <x:v>N2</x:v>
      </x:c>
      <x:c r="J39" s="26" t="str">
        <x:v>Media</x:v>
      </x:c>
      <x:c r="K39" s="26" t="str">
        <x:v>APROBADO</x:v>
      </x:c>
      <x:c r="L39" s="26" t="str">
        <x:v>Sí</x:v>
      </x:c>
      <x:c r="M39" s="26" t="str">
        <x:v>MANTENER</x:v>
      </x:c>
      <x:c r="N39" s="26" t="str">
        <x:v>Media</x:v>
      </x:c>
      <x:c r="O39" s="26" t="str">
        <x:v>Cobertura explícita en la malla EPN y sin brecha prioritaria suficiente para justificar aumento de carga.</x:v>
      </x:c>
      <x:c r="P39" s="26" t="str">
        <x:v>Bioingeniería aplicada; bioprocesos como familia principal.</x:v>
      </x:c>
    </x:row>
    <x:row r="40">
      <x:c r="A40" s="26" t="str">
        <x:v>AGRD733</x:v>
      </x:c>
      <x:c r="B40" s="26" t="str">
        <x:v>Ingeniería de Alimentos</x:v>
      </x:c>
      <x:c r="C40" s="26" t="str">
        <x:v>MALLA_CORE</x:v>
      </x:c>
      <x:c r="D40" s="26" t="n">
        <x:v>7</x:v>
      </x:c>
      <x:c r="E40" s="26" t="n">
        <x:v>3</x:v>
      </x:c>
      <x:c r="F40" s="26" t="str">
        <x:v>F0604</x:v>
      </x:c>
      <x:c r="G40" s="26" t="str">
        <x:v>Tecnología / procesamiento general de alimentos</x:v>
      </x:c>
      <x:c r="H40" s="26" t="str"/>
      <x:c r="I40" s="26" t="str">
        <x:v>N2</x:v>
      </x:c>
      <x:c r="J40" s="26" t="str">
        <x:v>Alta</x:v>
      </x:c>
      <x:c r="K40" s="26" t="str">
        <x:v>APROBADO</x:v>
      </x:c>
      <x:c r="L40" s="26" t="str">
        <x:v>Sí</x:v>
      </x:c>
      <x:c r="M40" s="26" t="str">
        <x:v>REFORZAR</x:v>
      </x:c>
      <x:c r="N40" s="26" t="str">
        <x:v>Alta</x:v>
      </x:c>
      <x:c r="O40" s="26" t="str">
        <x:v>La familia está presente, pero su peso obligatorio EPN es sensiblemente menor que el promedio del benchmark Core.</x:v>
      </x:c>
      <x:c r="P40" s="26" t="str">
        <x:v>Ingeniería de alimentos / procesamiento.</x:v>
      </x:c>
    </x:row>
    <x:row r="41">
      <x:c r="A41" s="26" t="str">
        <x:v>AGRD743</x:v>
      </x:c>
      <x:c r="B41" s="26" t="str">
        <x:v>Polímeros en la Agroindustria</x:v>
      </x:c>
      <x:c r="C41" s="26" t="str">
        <x:v>MALLA_CORE</x:v>
      </x:c>
      <x:c r="D41" s="26" t="n">
        <x:v>7</x:v>
      </x:c>
      <x:c r="E41" s="26" t="n">
        <x:v>3</x:v>
      </x:c>
      <x:c r="F41" s="26" t="str">
        <x:v>REVISAR</x:v>
      </x:c>
      <x:c r="G41" s="26" t="str">
        <x:v>REVISAR</x:v>
      </x:c>
      <x:c r="H41" s="26" t="str"/>
      <x:c r="I41" s="26" t="str">
        <x:v>NR</x:v>
      </x:c>
      <x:c r="J41" s="26" t="str">
        <x:v>Baja</x:v>
      </x:c>
      <x:c r="K41" s="26" t="str">
        <x:v>REVISAR</x:v>
      </x:c>
      <x:c r="L41" s="26" t="str">
        <x:v>Sí</x:v>
      </x:c>
      <x:c r="M41" s="26" t="str">
        <x:v>RECONSIDERAR/ELIMINAR</x:v>
      </x:c>
      <x:c r="N41" s="26" t="str">
        <x:v>Alta</x:v>
      </x:c>
      <x:c r="O41" s="26" t="str">
        <x:v>Reconsiderar el curso actual y transformarlo en Envases, Biomateriales y Packaging Sostenible, conservando aplicaciones de polímeros pertinentes.</x:v>
      </x:c>
      <x:c r="P41" s="26" t="str">
        <x:v>Polímeros en agroindustria no permite distinguir packaging, biomateriales o productos no alimenticios sin contenido.</x:v>
      </x:c>
    </x:row>
    <x:row r="42">
      <x:c r="A42" s="26" t="str">
        <x:v>AGRD752</x:v>
      </x:c>
      <x:c r="B42" s="26" t="str">
        <x:v>Poscosecha</x:v>
      </x:c>
      <x:c r="C42" s="26" t="str">
        <x:v>MALLA_CORE</x:v>
      </x:c>
      <x:c r="D42" s="26" t="n">
        <x:v>7</x:v>
      </x:c>
      <x:c r="E42" s="26" t="n">
        <x:v>2</x:v>
      </x:c>
      <x:c r="F42" s="26" t="str">
        <x:v>F1004</x:v>
      </x:c>
      <x:c r="G42" s="26" t="str">
        <x:v>Poscosecha y conservación de materia prima</x:v>
      </x:c>
      <x:c r="H42" s="26" t="str"/>
      <x:c r="I42" s="26" t="str">
        <x:v>N2</x:v>
      </x:c>
      <x:c r="J42" s="26" t="str">
        <x:v>Alta</x:v>
      </x:c>
      <x:c r="K42" s="26" t="str">
        <x:v>APROBADO</x:v>
      </x:c>
      <x:c r="L42" s="26" t="str">
        <x:v>Sí</x:v>
      </x:c>
      <x:c r="M42" s="26" t="str">
        <x:v>MANTENER</x:v>
      </x:c>
      <x:c r="N42" s="26" t="str">
        <x:v>Media</x:v>
      </x:c>
      <x:c r="O42" s="26" t="str">
        <x:v>Cobertura explícita en la malla EPN y sin brecha prioritaria suficiente para justificar aumento de carga.</x:v>
      </x:c>
      <x:c r="P42" s="26" t="str">
        <x:v>Poscosecha explícita.</x:v>
      </x:c>
    </x:row>
    <x:row r="43">
      <x:c r="A43" s="26" t="str">
        <x:v>AGRD761</x:v>
      </x:c>
      <x:c r="B43" s="26" t="str">
        <x:v>Agrocomercio</x:v>
      </x:c>
      <x:c r="C43" s="26" t="str">
        <x:v>MALLA_CORE</x:v>
      </x:c>
      <x:c r="D43" s="26" t="n">
        <x:v>7</x:v>
      </x:c>
      <x:c r="E43" s="26" t="n">
        <x:v>1</x:v>
      </x:c>
      <x:c r="F43" s="26" t="str">
        <x:v>F1204</x:v>
      </x:c>
      <x:c r="G43" s="26" t="str">
        <x:v>Marketing y comercialización</x:v>
      </x:c>
      <x:c r="H43" s="26" t="str"/>
      <x:c r="I43" s="26" t="str">
        <x:v>N2</x:v>
      </x:c>
      <x:c r="J43" s="26" t="str">
        <x:v>Alta</x:v>
      </x:c>
      <x:c r="K43" s="26" t="str">
        <x:v>APROBADO</x:v>
      </x:c>
      <x:c r="L43" s="26" t="str">
        <x:v>No</x:v>
      </x:c>
      <x:c r="M43" s="26" t="str">
        <x:v>MANTENER</x:v>
      </x:c>
      <x:c r="N43" s="26" t="str">
        <x:v>Media</x:v>
      </x:c>
      <x:c r="O43" s="26" t="str">
        <x:v>Cobertura explícita en la malla EPN y sin brecha prioritaria suficiente para justificar aumento de carga.</x:v>
      </x:c>
      <x:c r="P43" s="26" t="str">
        <x:v>Agrocomercio / comercialización.</x:v>
      </x:c>
    </x:row>
    <x:row r="44">
      <x:c r="A44" s="26" t="str">
        <x:v>CSHD400</x:v>
      </x:c>
      <x:c r="B44" s="26" t="str">
        <x:v>Asignatura de Economía y Sociedad</x:v>
      </x:c>
      <x:c r="C44" s="26" t="str">
        <x:v>MALLA_CORE</x:v>
      </x:c>
      <x:c r="D44" s="26" t="n">
        <x:v>7</x:v>
      </x:c>
      <x:c r="E44" s="26" t="n">
        <x:v>1</x:v>
      </x:c>
      <x:c r="F44" s="26" t="str">
        <x:v>F1201</x:v>
      </x:c>
      <x:c r="G44" s="26" t="str">
        <x:v>Economía y sistemas agroalimentarios</x:v>
      </x:c>
      <x:c r="H44" s="26" t="str">
        <x:v>F1606</x:v>
      </x:c>
      <x:c r="I44" s="26" t="str">
        <x:v>N1</x:v>
      </x:c>
      <x:c r="J44" s="26" t="str">
        <x:v>Media</x:v>
      </x:c>
      <x:c r="K44" s="26" t="str">
        <x:v>APROBADO</x:v>
      </x:c>
      <x:c r="L44" s="26" t="str">
        <x:v>No</x:v>
      </x:c>
      <x:c r="M44" s="26" t="str">
        <x:v>MANTENER</x:v>
      </x:c>
      <x:c r="N44" s="26" t="str">
        <x:v>Media</x:v>
      </x:c>
      <x:c r="O44" s="26" t="str">
        <x:v>Cobertura explícita en la malla EPN y sin brecha prioritaria suficiente para justificar aumento de carga.</x:v>
      </x:c>
      <x:c r="P44" s="26" t="str">
        <x:v>Economía y sociedad; economía como principal.</x:v>
      </x:c>
    </x:row>
    <x:row r="45">
      <x:c r="A45" s="26" t="str">
        <x:v>AGRD814</x:v>
      </x:c>
      <x:c r="B45" s="26" t="str">
        <x:v>Diseño de Plantas Agroindustriales</x:v>
      </x:c>
      <x:c r="C45" s="26" t="str">
        <x:v>MALLA_CORE</x:v>
      </x:c>
      <x:c r="D45" s="26" t="n">
        <x:v>8</x:v>
      </x:c>
      <x:c r="E45" s="26" t="n">
        <x:v>4</x:v>
      </x:c>
      <x:c r="F45" s="26" t="str">
        <x:v>F0901</x:v>
      </x:c>
      <x:c r="G45" s="26" t="str">
        <x:v>Diseño de plantas e industrias alimentarias</x:v>
      </x:c>
      <x:c r="H45" s="26" t="str"/>
      <x:c r="I45" s="26" t="str">
        <x:v>N3</x:v>
      </x:c>
      <x:c r="J45" s="26" t="str">
        <x:v>Alta</x:v>
      </x:c>
      <x:c r="K45" s="26" t="str">
        <x:v>APROBADO</x:v>
      </x:c>
      <x:c r="L45" s="26" t="str">
        <x:v>No</x:v>
      </x:c>
      <x:c r="M45" s="26" t="str">
        <x:v>MANTENER</x:v>
      </x:c>
      <x:c r="N45" s="26" t="str">
        <x:v>Media</x:v>
      </x:c>
      <x:c r="O45" s="26" t="str">
        <x:v>Familia explícitamente coherente con la identidad ingenieril EPN; su baja frecuencia en Food Science no justifica eliminación.</x:v>
      </x:c>
      <x:c r="P45" s="26" t="str">
        <x:v>Diseño de plantas agroindustriales.</x:v>
      </x:c>
    </x:row>
    <x:row r="46">
      <x:c r="A46" s="26" t="str">
        <x:v>AGRD822</x:v>
      </x:c>
      <x:c r="B46" s="26" t="str">
        <x:v>Simulación de Procesos Agroindustriales</x:v>
      </x:c>
      <x:c r="C46" s="26" t="str">
        <x:v>MALLA_CORE</x:v>
      </x:c>
      <x:c r="D46" s="26" t="n">
        <x:v>8</x:v>
      </x:c>
      <x:c r="E46" s="26" t="n">
        <x:v>2</x:v>
      </x:c>
      <x:c r="F46" s="26" t="str">
        <x:v>F0510</x:v>
      </x:c>
      <x:c r="G46" s="26" t="str">
        <x:v>Modelización, simulación y optimización de procesos</x:v>
      </x:c>
      <x:c r="H46" s="26" t="str"/>
      <x:c r="I46" s="26" t="str">
        <x:v>N3</x:v>
      </x:c>
      <x:c r="J46" s="26" t="str">
        <x:v>Alta</x:v>
      </x:c>
      <x:c r="K46" s="26" t="str">
        <x:v>APROBADO</x:v>
      </x:c>
      <x:c r="L46" s="26" t="str">
        <x:v>No</x:v>
      </x:c>
      <x:c r="M46" s="26" t="str">
        <x:v>REFORZAR</x:v>
      </x:c>
      <x:c r="N46" s="26" t="str">
        <x:v>Muy alta</x:v>
      </x:c>
      <x:c r="O46" s="26" t="str">
        <x:v>Familia de identidad ingenieril EPN presente, pero con señal externa/estratégica que exige mayor aplicación, integración o actualización.</x:v>
      </x:c>
      <x:c r="P46" s="26" t="str">
        <x:v>Simulación de procesos.</x:v>
      </x:c>
    </x:row>
    <x:row r="47">
      <x:c r="A47" s="26" t="str">
        <x:v>TITD101</x:v>
      </x:c>
      <x:c r="B47" s="26" t="str">
        <x:v>Diseño de Trabajo de Integración Curricular / Preparación Examen de Carácter Complexivo</x:v>
      </x:c>
      <x:c r="C47" s="26" t="str">
        <x:v>MALLA_CORE</x:v>
      </x:c>
      <x:c r="D47" s="26" t="n">
        <x:v>8</x:v>
      </x:c>
      <x:c r="E47" s="26" t="n">
        <x:v>1</x:v>
      </x:c>
      <x:c r="F47" s="26" t="str">
        <x:v>F1501</x:v>
      </x:c>
      <x:c r="G47" s="26" t="str">
        <x:v>Proyecto de ingeniería / oficina técnica</x:v>
      </x:c>
      <x:c r="H47" s="26" t="str"/>
      <x:c r="I47" s="26" t="str">
        <x:v>N3</x:v>
      </x:c>
      <x:c r="J47" s="26" t="str">
        <x:v>Alta</x:v>
      </x:c>
      <x:c r="K47" s="26" t="str">
        <x:v>APROBADO</x:v>
      </x:c>
      <x:c r="L47" s="26" t="str">
        <x:v>No</x:v>
      </x:c>
      <x:c r="M47" s="26" t="str">
        <x:v>REFORZAR</x:v>
      </x:c>
      <x:c r="N47" s="26" t="str">
        <x:v>Media</x:v>
      </x:c>
      <x:c r="O47" s="26" t="str">
        <x:v>La familia ya está en la malla, pero graduados/empleadores o el perfil actualizado demandan mayor profundidad, práctica o actualidad.</x:v>
      </x:c>
      <x:c r="P47" s="26" t="str">
        <x:v>Diseño/preparación del trabajo de integración.</x:v>
      </x:c>
    </x:row>
    <x:row r="48">
      <x:c r="A48" s="26" t="str">
        <x:v>AGRD842</x:v>
      </x:c>
      <x:c r="B48" s="26" t="str">
        <x:v>Aseguramiento Estadístico de la Calidad</x:v>
      </x:c>
      <x:c r="C48" s="26" t="str">
        <x:v>MALLA_CORE</x:v>
      </x:c>
      <x:c r="D48" s="26" t="n">
        <x:v>8</x:v>
      </x:c>
      <x:c r="E48" s="26" t="n">
        <x:v>2</x:v>
      </x:c>
      <x:c r="F48" s="26" t="str">
        <x:v>F0803</x:v>
      </x:c>
      <x:c r="G48" s="26" t="str">
        <x:v>Gestión y aseguramiento de la calidad</x:v>
      </x:c>
      <x:c r="H48" s="26" t="str">
        <x:v>F0104</x:v>
      </x:c>
      <x:c r="I48" s="26" t="str">
        <x:v>N2</x:v>
      </x:c>
      <x:c r="J48" s="26" t="str">
        <x:v>Alta</x:v>
      </x:c>
      <x:c r="K48" s="26" t="str">
        <x:v>APROBADO</x:v>
      </x:c>
      <x:c r="L48" s="26" t="str">
        <x:v>No</x:v>
      </x:c>
      <x:c r="M48" s="26" t="str">
        <x:v>REFORZAR</x:v>
      </x:c>
      <x:c r="N48" s="26" t="str">
        <x:v>Muy alta</x:v>
      </x:c>
      <x:c r="O48" s="26" t="str">
        <x:v>La familia ya está en la malla, pero graduados/empleadores o el perfil actualizado demandan mayor profundidad, práctica o actualidad.</x:v>
      </x:c>
      <x:c r="P48" s="26" t="str">
        <x:v>Aseguramiento estadístico de la calidad.</x:v>
      </x:c>
    </x:row>
    <x:row r="49">
      <x:c r="A49" s="26" t="str">
        <x:v>AGRD800</x:v>
      </x:c>
      <x:c r="B49" s="26" t="str">
        <x:v>Itinerario Básico</x:v>
      </x:c>
      <x:c r="C49" s="26" t="str">
        <x:v>MALLA_CORE</x:v>
      </x:c>
      <x:c r="D49" s="26" t="n">
        <x:v>8</x:v>
      </x:c>
      <x:c r="E49" s="26" t="n">
        <x:v>4</x:v>
      </x:c>
      <x:c r="F49" s="26" t="str">
        <x:v>F0002</x:v>
      </x:c>
      <x:c r="G49" s="26" t="str">
        <x:v>Especialización / parcours no desagregado</x:v>
      </x:c>
      <x:c r="H49" s="26" t="str"/>
      <x:c r="I49" s="26" t="str">
        <x:v>NR</x:v>
      </x:c>
      <x:c r="J49" s="26" t="str">
        <x:v>Alta</x:v>
      </x:c>
      <x:c r="K49" s="26" t="str">
        <x:v>APROBADO</x:v>
      </x:c>
      <x:c r="L49" s="26" t="str">
        <x:v>No</x:v>
      </x:c>
      <x:c r="M49" s="26" t="str">
        <x:v>MANTENER</x:v>
      </x:c>
      <x:c r="N49" s="26" t="str">
        <x:v>Media</x:v>
      </x:c>
      <x:c r="O49" s="26" t="str">
        <x:v>Cobertura explícita en la malla EPN y sin brecha prioritaria suficiente para justificar aumento de carga.</x:v>
      </x:c>
      <x:c r="P49" s="26" t="str">
        <x:v>Contenedor de especialización; no atribuir contenido temático.</x:v>
      </x:c>
    </x:row>
    <x:row r="50">
      <x:c r="A50" s="26" t="str">
        <x:v>ADMD711</x:v>
      </x:c>
      <x:c r="B50" s="26" t="str">
        <x:v>Ingeniería Financiera</x:v>
      </x:c>
      <x:c r="C50" s="26" t="str">
        <x:v>MALLA_CORE</x:v>
      </x:c>
      <x:c r="D50" s="26" t="n">
        <x:v>8</x:v>
      </x:c>
      <x:c r="E50" s="26" t="n">
        <x:v>1</x:v>
      </x:c>
      <x:c r="F50" s="26" t="str">
        <x:v>F1203</x:v>
      </x:c>
      <x:c r="G50" s="26" t="str">
        <x:v>Costos, valoración y finanzas</x:v>
      </x:c>
      <x:c r="H50" s="26" t="str"/>
      <x:c r="I50" s="26" t="str">
        <x:v>N2</x:v>
      </x:c>
      <x:c r="J50" s="26" t="str">
        <x:v>Alta</x:v>
      </x:c>
      <x:c r="K50" s="26" t="str">
        <x:v>APROBADO</x:v>
      </x:c>
      <x:c r="L50" s="26" t="str">
        <x:v>No</x:v>
      </x:c>
      <x:c r="M50" s="26" t="str">
        <x:v>MANTENER</x:v>
      </x:c>
      <x:c r="N50" s="26" t="str">
        <x:v>Media</x:v>
      </x:c>
      <x:c r="O50" s="26" t="str">
        <x:v>Cobertura explícita en la malla EPN y sin brecha prioritaria suficiente para justificar aumento de carga.</x:v>
      </x:c>
      <x:c r="P50" s="26" t="str">
        <x:v>Ingeniería financiera.</x:v>
      </x:c>
    </x:row>
    <x:row r="51">
      <x:c r="A51" s="26" t="str">
        <x:v>ADMD611</x:v>
      </x:c>
      <x:c r="B51" s="26" t="str">
        <x:v>Gestión de Procesos y Calidad</x:v>
      </x:c>
      <x:c r="C51" s="26" t="str">
        <x:v>MALLA_CORE</x:v>
      </x:c>
      <x:c r="D51" s="26" t="n">
        <x:v>8</x:v>
      </x:c>
      <x:c r="E51" s="26" t="n">
        <x:v>1</x:v>
      </x:c>
      <x:c r="F51" s="26" t="str">
        <x:v>F0803</x:v>
      </x:c>
      <x:c r="G51" s="26" t="str">
        <x:v>Gestión y aseguramiento de la calidad</x:v>
      </x:c>
      <x:c r="H51" s="26" t="str">
        <x:v>F1202</x:v>
      </x:c>
      <x:c r="I51" s="26" t="str">
        <x:v>N2</x:v>
      </x:c>
      <x:c r="J51" s="26" t="str">
        <x:v>Alta</x:v>
      </x:c>
      <x:c r="K51" s="26" t="str">
        <x:v>APROBADO</x:v>
      </x:c>
      <x:c r="L51" s="26" t="str">
        <x:v>No</x:v>
      </x:c>
      <x:c r="M51" s="26" t="str">
        <x:v>REFORZAR</x:v>
      </x:c>
      <x:c r="N51" s="26" t="str">
        <x:v>Muy alta</x:v>
      </x:c>
      <x:c r="O51" s="26" t="str">
        <x:v>La familia ya está en la malla, pero graduados/empleadores o el perfil actualizado demandan mayor profundidad, práctica o actualidad.</x:v>
      </x:c>
      <x:c r="P51" s="26" t="str">
        <x:v>Gestión de procesos y calidad; calidad como principal.</x:v>
      </x:c>
    </x:row>
    <x:row r="52">
      <x:c r="A52" s="26" t="str">
        <x:v>AGRD900</x:v>
      </x:c>
      <x:c r="B52" s="26" t="str">
        <x:v>Itinerario Avanzado</x:v>
      </x:c>
      <x:c r="C52" s="26" t="str">
        <x:v>MALLA_CORE</x:v>
      </x:c>
      <x:c r="D52" s="26" t="n">
        <x:v>9</x:v>
      </x:c>
      <x:c r="E52" s="26" t="n">
        <x:v>3</x:v>
      </x:c>
      <x:c r="F52" s="26" t="str">
        <x:v>F0002</x:v>
      </x:c>
      <x:c r="G52" s="26" t="str">
        <x:v>Especialización / parcours no desagregado</x:v>
      </x:c>
      <x:c r="H52" s="26" t="str"/>
      <x:c r="I52" s="26" t="str">
        <x:v>NR</x:v>
      </x:c>
      <x:c r="J52" s="26" t="str">
        <x:v>Alta</x:v>
      </x:c>
      <x:c r="K52" s="26" t="str">
        <x:v>APROBADO</x:v>
      </x:c>
      <x:c r="L52" s="26" t="str">
        <x:v>No</x:v>
      </x:c>
      <x:c r="M52" s="26" t="str">
        <x:v>MANTENER</x:v>
      </x:c>
      <x:c r="N52" s="26" t="str">
        <x:v>Media</x:v>
      </x:c>
      <x:c r="O52" s="26" t="str">
        <x:v>Cobertura explícita en la malla EPN y sin brecha prioritaria suficiente para justificar aumento de carga.</x:v>
      </x:c>
      <x:c r="P52" s="26" t="str">
        <x:v>Contenedor de especialización; no atribuir contenido temático.</x:v>
      </x:c>
    </x:row>
    <x:row r="53">
      <x:c r="A53" s="26" t="str">
        <x:v>PSCD202</x:v>
      </x:c>
      <x:c r="B53" s="26" t="str">
        <x:v>Prácticas de Servicio Comunitario</x:v>
      </x:c>
      <x:c r="C53" s="26" t="str">
        <x:v>MALLA_CORE</x:v>
      </x:c>
      <x:c r="D53" s="26" t="n">
        <x:v>9</x:v>
      </x:c>
      <x:c r="E53" s="26" t="n">
        <x:v>2</x:v>
      </x:c>
      <x:c r="F53" s="26" t="str">
        <x:v>REVISAR</x:v>
      </x:c>
      <x:c r="G53" s="26" t="str">
        <x:v>REVISAR</x:v>
      </x:c>
      <x:c r="H53" s="26" t="str"/>
      <x:c r="I53" s="26" t="str">
        <x:v>NR</x:v>
      </x:c>
      <x:c r="J53" s="26" t="str">
        <x:v>Baja</x:v>
      </x:c>
      <x:c r="K53" s="26" t="str">
        <x:v>REVISAR</x:v>
      </x:c>
      <x:c r="L53" s="26" t="str">
        <x:v>No</x:v>
      </x:c>
      <x:c r="M53" s="26" t="str">
        <x:v>MANTENER</x:v>
      </x:c>
      <x:c r="N53" s="26" t="str">
        <x:v>Media</x:v>
      </x:c>
      <x:c r="O53" s="26" t="str">
        <x:v>Mantener por su función institucional/social; no evaluarlo por frecuencia del benchmark disciplinar.</x:v>
      </x:c>
      <x:c r="P53" s="26" t="str">
        <x:v>Servicio comunitario no posee familia específica en AGRO-NORM-v1.0.</x:v>
      </x:c>
    </x:row>
    <x:row r="54">
      <x:c r="A54" s="26" t="str">
        <x:v>PRLD105</x:v>
      </x:c>
      <x:c r="B54" s="26" t="str">
        <x:v>Prácticas Laborales</x:v>
      </x:c>
      <x:c r="C54" s="26" t="str">
        <x:v>MALLA_CORE</x:v>
      </x:c>
      <x:c r="D54" s="26" t="n">
        <x:v>9</x:v>
      </x:c>
      <x:c r="E54" s="26" t="n">
        <x:v>5</x:v>
      </x:c>
      <x:c r="F54" s="26" t="str">
        <x:v>F1505</x:v>
      </x:c>
      <x:c r="G54" s="26" t="str">
        <x:v>Práctica externa / internship / stage</x:v>
      </x:c>
      <x:c r="H54" s="26" t="str"/>
      <x:c r="I54" s="26" t="str">
        <x:v>N3</x:v>
      </x:c>
      <x:c r="J54" s="26" t="str">
        <x:v>Alta</x:v>
      </x:c>
      <x:c r="K54" s="26" t="str">
        <x:v>APROBADO</x:v>
      </x:c>
      <x:c r="L54" s="26" t="str">
        <x:v>No</x:v>
      </x:c>
      <x:c r="M54" s="26" t="str">
        <x:v>REFORZAR</x:v>
      </x:c>
      <x:c r="N54" s="26" t="str">
        <x:v>Alta</x:v>
      </x:c>
      <x:c r="O54" s="26" t="str">
        <x:v>Mantener y fortalecer prácticas laborales: mayor duración/calidad, proyectos reales y evaluación de competencias.</x:v>
      </x:c>
      <x:c r="P54" s="26" t="str">
        <x:v>Práctica laboral externa.</x:v>
      </x:c>
    </x:row>
    <x:row r="55">
      <x:c r="A55" s="26" t="str">
        <x:v>TITD201</x:v>
      </x:c>
      <x:c r="B55" s="26" t="str">
        <x:v>Trabajo de Integración Curricular / Examen de Carácter Complexivo</x:v>
      </x:c>
      <x:c r="C55" s="26" t="str">
        <x:v>MALLA_CORE</x:v>
      </x:c>
      <x:c r="D55" s="26" t="n">
        <x:v>9</x:v>
      </x:c>
      <x:c r="E55" s="26" t="n">
        <x:v>5</x:v>
      </x:c>
      <x:c r="F55" s="26" t="str">
        <x:v>F1502</x:v>
      </x:c>
      <x:c r="G55" s="26" t="str">
        <x:v>Proyecto integrador / capstone</x:v>
      </x:c>
      <x:c r="H55" s="26" t="str">
        <x:v>F1503</x:v>
      </x:c>
      <x:c r="I55" s="26" t="str">
        <x:v>N3</x:v>
      </x:c>
      <x:c r="J55" s="26" t="str">
        <x:v>Media</x:v>
      </x:c>
      <x:c r="K55" s="26" t="str">
        <x:v>APROBADO</x:v>
      </x:c>
      <x:c r="L55" s="26" t="str">
        <x:v>No</x:v>
      </x:c>
      <x:c r="M55" s="26" t="str">
        <x:v>REFORZAR</x:v>
      </x:c>
      <x:c r="N55" s="26" t="str">
        <x:v>Alta</x:v>
      </x:c>
      <x:c r="O55" s="26" t="str">
        <x:v>Mantener integración curricular y asegurar evidencia de diseño/solución compleja para todas las modalidades, incluido examen complexivo.</x:v>
      </x:c>
      <x:c r="P55" s="26" t="str">
        <x:v>Integración curricular/capstone; TFG como secundaria por modalidad alternativa.</x:v>
      </x:c>
    </x:row>
    <x:row r="56">
      <x:c r="A56" s="26" t="str">
        <x:v>AGRD801</x:v>
      </x:c>
      <x:c r="B56" s="26" t="str">
        <x:v>Tecnología de Alimentos I</x:v>
      </x:c>
      <x:c r="C56" s="26" t="str">
        <x:v>ITINERARIO_OPCION</x:v>
      </x:c>
      <x:c r="D56" s="26" t="n">
        <x:v>8</x:v>
      </x:c>
      <x:c r="E56" s="26" t="n">
        <x:v>4</x:v>
      </x:c>
      <x:c r="F56" s="26" t="str">
        <x:v>F0604</x:v>
      </x:c>
      <x:c r="G56" s="26" t="str">
        <x:v>Tecnología / procesamiento general de alimentos</x:v>
      </x:c>
      <x:c r="H56" s="26" t="str"/>
      <x:c r="I56" s="26" t="str">
        <x:v>N2</x:v>
      </x:c>
      <x:c r="J56" s="26" t="str">
        <x:v>Alta</x:v>
      </x:c>
      <x:c r="K56" s="26" t="str">
        <x:v>APROBADO</x:v>
      </x:c>
      <x:c r="L56" s="26" t="str">
        <x:v>No</x:v>
      </x:c>
      <x:c r="M56" s="26" t="str">
        <x:v>REFORZAR</x:v>
      </x:c>
      <x:c r="N56" s="26" t="str">
        <x:v>Alta</x:v>
      </x:c>
      <x:c r="O56" s="26" t="str">
        <x:v>La familia está presente, pero su peso obligatorio EPN es sensiblemente menor que el promedio del benchmark Core.</x:v>
      </x:c>
      <x:c r="P56" s="26" t="str">
        <x:v>Tecnología de alimentos I.</x:v>
      </x:c>
    </x:row>
    <x:row r="57">
      <x:c r="A57" s="26" t="str">
        <x:v>AGRD901</x:v>
      </x:c>
      <x:c r="B57" s="26" t="str">
        <x:v>Tecnología de Alimentos II</x:v>
      </x:c>
      <x:c r="C57" s="26" t="str">
        <x:v>ITINERARIO_OPCION</x:v>
      </x:c>
      <x:c r="D57" s="26" t="n">
        <x:v>9</x:v>
      </x:c>
      <x:c r="E57" s="26" t="n">
        <x:v>3</x:v>
      </x:c>
      <x:c r="F57" s="26" t="str">
        <x:v>F0604</x:v>
      </x:c>
      <x:c r="G57" s="26" t="str">
        <x:v>Tecnología / procesamiento general de alimentos</x:v>
      </x:c>
      <x:c r="H57" s="26" t="str"/>
      <x:c r="I57" s="26" t="str">
        <x:v>N3</x:v>
      </x:c>
      <x:c r="J57" s="26" t="str">
        <x:v>Alta</x:v>
      </x:c>
      <x:c r="K57" s="26" t="str">
        <x:v>APROBADO</x:v>
      </x:c>
      <x:c r="L57" s="26" t="str">
        <x:v>No</x:v>
      </x:c>
      <x:c r="M57" s="26" t="str">
        <x:v>REFORZAR</x:v>
      </x:c>
      <x:c r="N57" s="26" t="str">
        <x:v>Alta</x:v>
      </x:c>
      <x:c r="O57" s="26" t="str">
        <x:v>La familia está presente, pero su peso obligatorio EPN es sensiblemente menor que el promedio del benchmark Core.</x:v>
      </x:c>
      <x:c r="P57" s="26" t="str">
        <x:v>Tecnología de alimentos II.</x:v>
      </x:c>
    </x:row>
    <x:row r="58">
      <x:c r="A58" s="26" t="str">
        <x:v>AGRD802</x:v>
      </x:c>
      <x:c r="B58" s="26" t="str">
        <x:v>Biotecnología Agroindustrial I</x:v>
      </x:c>
      <x:c r="C58" s="26" t="str">
        <x:v>ITINERARIO_OPCION</x:v>
      </x:c>
      <x:c r="D58" s="26" t="n">
        <x:v>8</x:v>
      </x:c>
      <x:c r="E58" s="26" t="n">
        <x:v>4</x:v>
      </x:c>
      <x:c r="F58" s="26" t="str">
        <x:v>F0305</x:v>
      </x:c>
      <x:c r="G58" s="26" t="str">
        <x:v>Biotecnología y biología molecular</x:v>
      </x:c>
      <x:c r="H58" s="26" t="str">
        <x:v>F0306</x:v>
      </x:c>
      <x:c r="I58" s="26" t="str">
        <x:v>N2</x:v>
      </x:c>
      <x:c r="J58" s="26" t="str">
        <x:v>Alta</x:v>
      </x:c>
      <x:c r="K58" s="26" t="str">
        <x:v>APROBADO</x:v>
      </x:c>
      <x:c r="L58" s="26" t="str">
        <x:v>No</x:v>
      </x:c>
      <x:c r="M58" s="26" t="str">
        <x:v>INTEGRAR</x:v>
      </x:c>
      <x:c r="N58" s="26" t="str">
        <x:v>Alta</x:v>
      </x:c>
      <x:c r="O58" s="26" t="str">
        <x:v>La cobertura existe solo como componente secundario; conviene hacerla explícita dentro de una o varias asignaturas existentes.</x:v>
      </x:c>
      <x:c r="P58" s="26" t="str">
        <x:v>Biotecnología agroindustrial I.</x:v>
      </x:c>
    </x:row>
    <x:row r="59">
      <x:c r="A59" s="26" t="str">
        <x:v>AGRD902</x:v>
      </x:c>
      <x:c r="B59" s="26" t="str">
        <x:v>Biotecnología Agroindustrial II</x:v>
      </x:c>
      <x:c r="C59" s="26" t="str">
        <x:v>ITINERARIO_OPCION</x:v>
      </x:c>
      <x:c r="D59" s="26" t="n">
        <x:v>9</x:v>
      </x:c>
      <x:c r="E59" s="26" t="n">
        <x:v>3</x:v>
      </x:c>
      <x:c r="F59" s="26" t="str">
        <x:v>F0305</x:v>
      </x:c>
      <x:c r="G59" s="26" t="str">
        <x:v>Biotecnología y biología molecular</x:v>
      </x:c>
      <x:c r="H59" s="26" t="str">
        <x:v>F0306</x:v>
      </x:c>
      <x:c r="I59" s="26" t="str">
        <x:v>N3</x:v>
      </x:c>
      <x:c r="J59" s="26" t="str">
        <x:v>Alta</x:v>
      </x:c>
      <x:c r="K59" s="26" t="str">
        <x:v>APROBADO</x:v>
      </x:c>
      <x:c r="L59" s="26" t="str">
        <x:v>No</x:v>
      </x:c>
      <x:c r="M59" s="26" t="str">
        <x:v>INTEGRAR</x:v>
      </x:c>
      <x:c r="N59" s="26" t="str">
        <x:v>Alta</x:v>
      </x:c>
      <x:c r="O59" s="26" t="str">
        <x:v>La cobertura existe solo como componente secundario; conviene hacerla explícita dentro de una o varias asignaturas existentes.</x:v>
      </x:c>
      <x:c r="P59" s="26" t="str">
        <x:v>Biotecnología agroindustrial II.</x:v>
      </x:c>
    </x:row>
    <x:row r="60">
      <x:c r="A60" s="26" t="str">
        <x:v>AGRD803</x:v>
      </x:c>
      <x:c r="B60" s="26" t="str">
        <x:v>Productos No Alimenticios I</x:v>
      </x:c>
      <x:c r="C60" s="26" t="str">
        <x:v>ITINERARIO_OPCION</x:v>
      </x:c>
      <x:c r="D60" s="26" t="n">
        <x:v>8</x:v>
      </x:c>
      <x:c r="E60" s="26" t="n">
        <x:v>4</x:v>
      </x:c>
      <x:c r="F60" s="26" t="str">
        <x:v>REVISAR</x:v>
      </x:c>
      <x:c r="G60" s="26" t="str">
        <x:v>REVISAR</x:v>
      </x:c>
      <x:c r="H60" s="26" t="str"/>
      <x:c r="I60" s="26" t="str">
        <x:v>NR</x:v>
      </x:c>
      <x:c r="J60" s="26" t="str">
        <x:v>Baja</x:v>
      </x:c>
      <x:c r="K60" s="26" t="str">
        <x:v>REVISAR</x:v>
      </x:c>
      <x:c r="L60" s="26" t="str">
        <x:v>No</x:v>
      </x:c>
      <x:c r="M60" s="26" t="str">
        <x:v>REFORZAR</x:v>
      </x:c>
      <x:c r="N60" s="26" t="str">
        <x:v>Alta</x:v>
      </x:c>
      <x:c r="O60" s="26" t="str">
        <x:v>Mantener y actualizar el itinerario no alimenticio: el perfil ajustado reconoce que este componente está subestimado; no usar su baja comparabilidad con Food Science para eliminarlo.</x:v>
      </x:c>
      <x:c r="P60" s="26" t="str">
        <x:v>Productos no alimenticios no dispone de familia propia en la taxonomía congelada.</x:v>
      </x:c>
    </x:row>
    <x:row r="61">
      <x:c r="A61" s="26" t="str">
        <x:v>AGRD903</x:v>
      </x:c>
      <x:c r="B61" s="26" t="str">
        <x:v>Productos No Alimenticios II</x:v>
      </x:c>
      <x:c r="C61" s="26" t="str">
        <x:v>ITINERARIO_OPCION</x:v>
      </x:c>
      <x:c r="D61" s="26" t="n">
        <x:v>9</x:v>
      </x:c>
      <x:c r="E61" s="26" t="n">
        <x:v>3</x:v>
      </x:c>
      <x:c r="F61" s="26" t="str">
        <x:v>REVISAR</x:v>
      </x:c>
      <x:c r="G61" s="26" t="str">
        <x:v>REVISAR</x:v>
      </x:c>
      <x:c r="H61" s="26" t="str"/>
      <x:c r="I61" s="26" t="str">
        <x:v>NR</x:v>
      </x:c>
      <x:c r="J61" s="26" t="str">
        <x:v>Baja</x:v>
      </x:c>
      <x:c r="K61" s="26" t="str">
        <x:v>REVISAR</x:v>
      </x:c>
      <x:c r="L61" s="26" t="str">
        <x:v>No</x:v>
      </x:c>
      <x:c r="M61" s="26" t="str">
        <x:v>REFORZAR</x:v>
      </x:c>
      <x:c r="N61" s="26" t="str">
        <x:v>Alta</x:v>
      </x:c>
      <x:c r="O61" s="26" t="str">
        <x:v>Mantener y profundizar el itinerario no alimenticio con materiales, bioproductos, circularidad y tecnología aplicada.</x:v>
      </x:c>
      <x:c r="P61" s="26" t="str">
        <x:v>Productos no alimenticios no dispone de familia propia en la taxonomía congelada.</x:v>
      </x:c>
    </x:row>
    <x:row r="62">
      <x:c r="A62" s="26" t="str">
        <x:v>IEXD200</x:v>
      </x:c>
      <x:c r="B62" s="26" t="str">
        <x:v>Nivel de Suficiencia B1 en el idioma inglés</x:v>
      </x:c>
      <x:c r="C62" s="26" t="str">
        <x:v>REQUISITO_GRAD</x:v>
      </x:c>
      <x:c r="D62" s="26" t="str">
        <x:v>NR</x:v>
      </x:c>
      <x:c r="E62" s="26" t="str">
        <x:v>NR</x:v>
      </x:c>
      <x:c r="F62" s="26" t="str">
        <x:v>F1601</x:v>
      </x:c>
      <x:c r="G62" s="26" t="str">
        <x:v>Idioma extranjero</x:v>
      </x:c>
      <x:c r="H62" s="26" t="str"/>
      <x:c r="I62" s="26" t="str">
        <x:v>N1</x:v>
      </x:c>
      <x:c r="J62" s="26" t="str">
        <x:v>Alta</x:v>
      </x:c>
      <x:c r="K62" s="26" t="str">
        <x:v>APROBADO</x:v>
      </x:c>
      <x:c r="L62" s="26" t="str">
        <x:v>No</x:v>
      </x:c>
      <x:c r="M62" s="26" t="str">
        <x:v>INTEGRAR</x:v>
      </x:c>
      <x:c r="N62" s="26" t="str">
        <x:v>Muy alta</x:v>
      </x:c>
      <x:c r="O62" s="26" t="str">
        <x:v>El B1 como requisito no basta para el perfil propuesto; integrar inglés técnico en asignaturas, informes y presentaciones.</x:v>
      </x:c>
      <x:c r="P62" s="26" t="str">
        <x:v>Suficiencia B1 de inglés.</x:v>
      </x:c>
    </x:row>
    <x:row r="63">
      <x:c r="A63" s="26" t="str">
        <x:v>DEPD110</x:v>
      </x:c>
      <x:c r="B63" s="26" t="str">
        <x:v>Deportes</x:v>
      </x:c>
      <x:c r="C63" s="26" t="str">
        <x:v>REQUISITO_GRAD</x:v>
      </x:c>
      <x:c r="D63" s="26" t="str">
        <x:v>NR</x:v>
      </x:c>
      <x:c r="E63" s="26" t="str">
        <x:v>NR</x:v>
      </x:c>
      <x:c r="F63" s="26" t="str">
        <x:v>F1606</x:v>
      </x:c>
      <x:c r="G63" s="26" t="str">
        <x:v>Humanidades, deporte y formación general</x:v>
      </x:c>
      <x:c r="H63" s="26" t="str"/>
      <x:c r="I63" s="26" t="str">
        <x:v>N1</x:v>
      </x:c>
      <x:c r="J63" s="26" t="str">
        <x:v>Alta</x:v>
      </x:c>
      <x:c r="K63" s="26" t="str">
        <x:v>APROBADO</x:v>
      </x:c>
      <x:c r="L63" s="26" t="str">
        <x:v>No</x:v>
      </x:c>
      <x:c r="M63" s="26" t="str">
        <x:v>MANTENER</x:v>
      </x:c>
      <x:c r="N63" s="26" t="str">
        <x:v>Media</x:v>
      </x:c>
      <x:c r="O63" s="26" t="str">
        <x:v>Cobertura explícita en la malla EPN y sin brecha prioritaria suficiente para justificar aumento de carga.</x:v>
      </x:c>
      <x:c r="P63" s="26" t="str">
        <x:v>Deportes/formación general.</x:v>
      </x:c>
    </x:row>
    <x:row r="64">
      <x:c r="A64" s="26" t="str">
        <x:v>SOCD210</x:v>
      </x:c>
      <x:c r="B64" s="26" t="str">
        <x:v>Clubes</x:v>
      </x:c>
      <x:c r="C64" s="26" t="str">
        <x:v>REQUISITO_GRAD</x:v>
      </x:c>
      <x:c r="D64" s="26" t="str">
        <x:v>NR</x:v>
      </x:c>
      <x:c r="E64" s="26" t="str">
        <x:v>NR</x:v>
      </x:c>
      <x:c r="F64" s="26" t="str">
        <x:v>F1606</x:v>
      </x:c>
      <x:c r="G64" s="26" t="str">
        <x:v>Humanidades, deporte y formación general</x:v>
      </x:c>
      <x:c r="H64" s="26" t="str"/>
      <x:c r="I64" s="26" t="str">
        <x:v>N1</x:v>
      </x:c>
      <x:c r="J64" s="26" t="str">
        <x:v>Media</x:v>
      </x:c>
      <x:c r="K64" s="26" t="str">
        <x:v>APROBADO</x:v>
      </x:c>
      <x:c r="L64" s="26" t="str">
        <x:v>No</x:v>
      </x:c>
      <x:c r="M64" s="26" t="str">
        <x:v>MANTENER</x:v>
      </x:c>
      <x:c r="N64" s="26" t="str">
        <x:v>Media</x:v>
      </x:c>
      <x:c r="O64" s="26" t="str">
        <x:v>Cobertura explícita en la malla EPN y sin brecha prioritaria suficiente para justificar aumento de carga.</x:v>
      </x:c>
      <x:c r="P64" s="26" t="str">
        <x:v>Clubes/formación general.</x:v>
      </x:c>
    </x:row>
    <x:row r="65">
      <x:c r="A65" s="26" t="str">
        <x:v>CSHD500</x:v>
      </x:c>
      <x:c r="B65" s="26" t="str">
        <x:v>Asignatura de Comunicación</x:v>
      </x:c>
      <x:c r="C65" s="26" t="str">
        <x:v>REQUISITO_GRAD</x:v>
      </x:c>
      <x:c r="D65" s="26" t="str">
        <x:v>NR</x:v>
      </x:c>
      <x:c r="E65" s="26" t="str">
        <x:v>NR</x:v>
      </x:c>
      <x:c r="F65" s="26" t="str">
        <x:v>F1602</x:v>
      </x:c>
      <x:c r="G65" s="26" t="str">
        <x:v>Comunicación académica y profesional</x:v>
      </x:c>
      <x:c r="H65" s="26" t="str"/>
      <x:c r="I65" s="26" t="str">
        <x:v>N1</x:v>
      </x:c>
      <x:c r="J65" s="26" t="str">
        <x:v>Alta</x:v>
      </x:c>
      <x:c r="K65" s="26" t="str">
        <x:v>APROBADO</x:v>
      </x:c>
      <x:c r="L65" s="26" t="str">
        <x:v>No</x:v>
      </x:c>
      <x:c r="M65" s="26" t="str">
        <x:v>REFORZAR</x:v>
      </x:c>
      <x:c r="N65" s="26" t="str">
        <x:v>Muy alta</x:v>
      </x:c>
      <x:c r="O65" s="26" t="str">
        <x:v>Mantener comunicación y reforzarla transversalmente en reportes, presentaciones y proyectos.</x:v>
      </x:c>
      <x:c r="P65" s="26" t="str">
        <x:v>Asignatura de comunicación.</x:v>
      </x:c>
    </x:row>
    <x:row r="66">
      <x:c r="A66" s="26" t="str">
        <x:v>ADMD700</x:v>
      </x:c>
      <x:c r="B66" s="26" t="str">
        <x:v>Emprendimiento</x:v>
      </x:c>
      <x:c r="C66" s="26" t="str">
        <x:v>REQUISITO_GRAD</x:v>
      </x:c>
      <x:c r="D66" s="26" t="str">
        <x:v>NR</x:v>
      </x:c>
      <x:c r="E66" s="26" t="str">
        <x:v>NR</x:v>
      </x:c>
      <x:c r="F66" s="26" t="str">
        <x:v>F1208</x:v>
      </x:c>
      <x:c r="G66" s="26" t="str">
        <x:v>Emprendimiento y modelos de negocio</x:v>
      </x:c>
      <x:c r="H66" s="26" t="str"/>
      <x:c r="I66" s="26" t="str">
        <x:v>N2</x:v>
      </x:c>
      <x:c r="J66" s="26" t="str">
        <x:v>Alta</x:v>
      </x:c>
      <x:c r="K66" s="26" t="str">
        <x:v>APROBADO</x:v>
      </x:c>
      <x:c r="L66" s="26" t="str">
        <x:v>No</x:v>
      </x:c>
      <x:c r="M66" s="26" t="str">
        <x:v>INTEGRAR</x:v>
      </x:c>
      <x:c r="N66" s="26" t="str">
        <x:v>Alta</x:v>
      </x:c>
      <x:c r="O66" s="26" t="str">
        <x:v>Emprendimiento ya es requisito; integrarlo con innovación, modelo de negocio y proyecto final.</x:v>
      </x:c>
      <x:c r="P66" s="26" t="str">
        <x:v>Emprendimiento.</x:v>
      </x:c>
    </x:row>
    <x:row r="67">
      <x:c r="A67" s="26" t="str">
        <x:v>ADMD800</x:v>
      </x:c>
      <x:c r="B67" s="26" t="str">
        <x:v>Formulación y Evaluación de Proyectos</x:v>
      </x:c>
      <x:c r="C67" s="26" t="str">
        <x:v>REQUISITO_GRAD</x:v>
      </x:c>
      <x:c r="D67" s="26" t="str">
        <x:v>NR</x:v>
      </x:c>
      <x:c r="E67" s="26" t="str">
        <x:v>NR</x:v>
      </x:c>
      <x:c r="F67" s="26" t="str">
        <x:v>F1207</x:v>
      </x:c>
      <x:c r="G67" s="26" t="str">
        <x:v>Gestión de proyectos</x:v>
      </x:c>
      <x:c r="H67" s="26" t="str"/>
      <x:c r="I67" s="26" t="str">
        <x:v>N2</x:v>
      </x:c>
      <x:c r="J67" s="26" t="str">
        <x:v>Alta</x:v>
      </x:c>
      <x:c r="K67" s="26" t="str">
        <x:v>APROBADO</x:v>
      </x:c>
      <x:c r="L67" s="26" t="str">
        <x:v>No</x:v>
      </x:c>
      <x:c r="M67" s="26" t="str">
        <x:v>INTEGRAR</x:v>
      </x:c>
      <x:c r="N67" s="26" t="str">
        <x:v>Muy alta</x:v>
      </x:c>
      <x:c r="O67" s="26" t="str">
        <x:v>Formulación y Evaluación de Proyectos existe como requisito; articularla con PP5 y una secuencia de proyecto/gestión.</x:v>
      </x:c>
      <x:c r="P67" s="26" t="str">
        <x:v>Formulación y evaluación de proyectos.</x:v>
      </x:c>
    </x:row>
    <x:row r="68">
      <x:c r="A68" s="26" t="str">
        <x:v>AMBD900</x:v>
      </x:c>
      <x:c r="B68" s="26" t="str">
        <x:v>Ecología y Ambiente</x:v>
      </x:c>
      <x:c r="C68" s="26" t="str">
        <x:v>REQUISITO_GRAD</x:v>
      </x:c>
      <x:c r="D68" s="26" t="str">
        <x:v>NR</x:v>
      </x:c>
      <x:c r="E68" s="26" t="str">
        <x:v>NR</x:v>
      </x:c>
      <x:c r="F68" s="26" t="str">
        <x:v>F1101</x:v>
      </x:c>
      <x:c r="G68" s="26" t="str">
        <x:v>Ecología e impacto ambiental</x:v>
      </x:c>
      <x:c r="H68" s="26" t="str"/>
      <x:c r="I68" s="26" t="str">
        <x:v>N1</x:v>
      </x:c>
      <x:c r="J68" s="26" t="str">
        <x:v>Alta</x:v>
      </x:c>
      <x:c r="K68" s="26" t="str">
        <x:v>APROBADO</x:v>
      </x:c>
      <x:c r="L68" s="26" t="str">
        <x:v>No</x:v>
      </x:c>
      <x:c r="M68" s="26" t="str">
        <x:v>MANTENER</x:v>
      </x:c>
      <x:c r="N68" s="26" t="str">
        <x:v>Media</x:v>
      </x:c>
      <x:c r="O68" s="26" t="str">
        <x:v>Cobertura explícita en la malla EPN y sin brecha prioritaria suficiente para justificar aumento de carga.</x:v>
      </x:c>
      <x:c r="P68" s="26" t="str">
        <x:v>Ecología y ambiente.</x:v>
      </x:c>
    </x:row>
    <x:row r="69">
      <x:c r="A69" s="26" t="str">
        <x:v>AGRD600</x:v>
      </x:c>
      <x:c r="B69" s="26" t="str">
        <x:v>Agricultura Ecológica</x:v>
      </x:c>
      <x:c r="C69" s="26" t="str">
        <x:v>REQUISITO_GRAD</x:v>
      </x:c>
      <x:c r="D69" s="26" t="str">
        <x:v>NR</x:v>
      </x:c>
      <x:c r="E69" s="26" t="str">
        <x:v>NR</x:v>
      </x:c>
      <x:c r="F69" s="26" t="str">
        <x:v>F1001</x:v>
      </x:c>
      <x:c r="G69" s="26" t="str">
        <x:v>Producción vegetal y fitotecnia</x:v>
      </x:c>
      <x:c r="H69" s="26" t="str">
        <x:v>F1105</x:v>
      </x:c>
      <x:c r="I69" s="26" t="str">
        <x:v>N2</x:v>
      </x:c>
      <x:c r="J69" s="26" t="str">
        <x:v>Alta</x:v>
      </x:c>
      <x:c r="K69" s="26" t="str">
        <x:v>APROBADO</x:v>
      </x:c>
      <x:c r="L69" s="26" t="str">
        <x:v>No</x:v>
      </x:c>
      <x:c r="M69" s="26" t="str">
        <x:v>MANTENER</x:v>
      </x:c>
      <x:c r="N69" s="26" t="str">
        <x:v>Media</x:v>
      </x:c>
      <x:c r="O69" s="26" t="str">
        <x:v>Cobertura explícita en la malla EPN y sin brecha prioritaria suficiente para justificar aumento de carga.</x:v>
      </x:c>
      <x:c r="P69" s="26" t="str">
        <x:v>Agricultura ecológica; sostenibilidad como secundaria.</x:v>
      </x:c>
    </x:row>
    <x:row r="70">
      <x:c r="A70" s="26" t="str">
        <x:v>AGRD700</x:v>
      </x:c>
      <x:c r="B70" s="26" t="str">
        <x:v>Agroplasticultura</x:v>
      </x:c>
      <x:c r="C70" s="26" t="str">
        <x:v>REQUISITO_GRAD</x:v>
      </x:c>
      <x:c r="D70" s="26" t="str">
        <x:v>NR</x:v>
      </x:c>
      <x:c r="E70" s="26" t="str">
        <x:v>NR</x:v>
      </x:c>
      <x:c r="F70" s="26" t="str">
        <x:v>F1001</x:v>
      </x:c>
      <x:c r="G70" s="26" t="str">
        <x:v>Producción vegetal y fitotecnia</x:v>
      </x:c>
      <x:c r="H70" s="26" t="str">
        <x:v>F0907</x:v>
      </x:c>
      <x:c r="I70" s="26" t="str">
        <x:v>N2</x:v>
      </x:c>
      <x:c r="J70" s="26" t="str">
        <x:v>Media</x:v>
      </x:c>
      <x:c r="K70" s="26" t="str">
        <x:v>APROBADO</x:v>
      </x:c>
      <x:c r="L70" s="26" t="str">
        <x:v>No</x:v>
      </x:c>
      <x:c r="M70" s="26" t="str">
        <x:v>MANTENER</x:v>
      </x:c>
      <x:c r="N70" s="26" t="str">
        <x:v>Media</x:v>
      </x:c>
      <x:c r="O70" s="26" t="str">
        <x:v>Cobertura explícita en la malla EPN y sin brecha prioritaria suficiente para justificar aumento de carga.</x:v>
      </x:c>
      <x:c r="P70" s="26" t="str">
        <x:v>Agroplasticultura: producción vegetal; materiales/plásticos como secundaria.</x:v>
      </x:c>
    </x:row>
    <x:row r="71">
      <x:c r="A71" s="26" t="str">
        <x:v>AGRD810</x:v>
      </x:c>
      <x:c r="B71" s="26" t="str">
        <x:v>Subproductos Agroindustriales</x:v>
      </x:c>
      <x:c r="C71" s="26" t="str">
        <x:v>REQUISITO_GRAD</x:v>
      </x:c>
      <x:c r="D71" s="26" t="str">
        <x:v>NR</x:v>
      </x:c>
      <x:c r="E71" s="26" t="str">
        <x:v>NR</x:v>
      </x:c>
      <x:c r="F71" s="26" t="str">
        <x:v>F1103</x:v>
      </x:c>
      <x:c r="G71" s="26" t="str">
        <x:v>Residuos, subproductos y valorización</x:v>
      </x:c>
      <x:c r="H71" s="26" t="str"/>
      <x:c r="I71" s="26" t="str">
        <x:v>N2</x:v>
      </x:c>
      <x:c r="J71" s="26" t="str">
        <x:v>Alta</x:v>
      </x:c>
      <x:c r="K71" s="26" t="str">
        <x:v>APROBADO</x:v>
      </x:c>
      <x:c r="L71" s="26" t="str">
        <x:v>No</x:v>
      </x:c>
      <x:c r="M71" s="26" t="str">
        <x:v>INTEGRAR</x:v>
      </x:c>
      <x:c r="N71" s="26" t="str">
        <x:v>Muy alta</x:v>
      </x:c>
      <x:c r="O71" s="26" t="str">
        <x:v>Subproductos Agroindustriales existe como requisito de graduación; elevarlo a experiencia explícita y articulada con circularidad/valorización.</x:v>
      </x:c>
      <x:c r="P71" s="26" t="str">
        <x:v>Subproductos agroindustriales / valorización.</x:v>
      </x:c>
    </x:row>
  </x:sheetData>
  <x:conditionalFormatting sqref="M2:M71">
    <x:cfRule type="expression" dxfId="5" priority="1">
      <x:formula>M2="RECONSIDERAR/ELIMINAR"</x:formula>
    </x:cfRule>
    <x:cfRule type="expression" dxfId="6" priority="2">
      <x:formula>M2="REFORZAR"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0" hidden="0" customWidth="1"/>
    <x:col min="10" max="10" width="50" hidden="0" customWidth="1"/>
    <x:col min="11" max="11" width="50" hidden="0" customWidth="1"/>
    <x:col min="12" max="12" width="50" hidden="0" customWidth="1"/>
  </x:cols>
  <x:sheetData>
    <x:row r="1">
      <x:c r="A1" s="14" t="str">
        <x:v>Accion</x:v>
      </x:c>
      <x:c r="B1" s="14" t="str">
        <x:v>Prioridad</x:v>
      </x:c>
      <x:c r="C1" s="14" t="str">
        <x:v>ID_Familia</x:v>
      </x:c>
      <x:c r="D1" s="14" t="str">
        <x:v>Familia</x:v>
      </x:c>
      <x:c r="E1" s="14" t="str">
        <x:v>Estado_EPN</x:v>
      </x:c>
      <x:c r="F1" s="14" t="str">
        <x:v>Presencia_Core_pct</x:v>
      </x:c>
      <x:c r="G1" s="14" t="str">
        <x:v>Peso_Benchmark_pct</x:v>
      </x:c>
      <x:c r="H1" s="14" t="str">
        <x:v>Peso_EPN_pct</x:v>
      </x:c>
      <x:c r="I1" s="14" t="str">
        <x:v>Soporte_EPN</x:v>
      </x:c>
      <x:c r="J1" s="14" t="str">
        <x:v>Stakeholders</x:v>
      </x:c>
      <x:c r="K1" s="14" t="str">
        <x:v>Perfil_2026_DERIVADO</x:v>
      </x:c>
      <x:c r="L1" s="14" t="str">
        <x:v>Justificacion</x:v>
      </x:c>
    </x:row>
    <x:row r="2">
      <x:c r="A2" s="26" t="str">
        <x:v>INTEGRAR</x:v>
      </x:c>
      <x:c r="B2" s="26" t="str">
        <x:v>Crítica</x:v>
      </x:c>
      <x:c r="C2" s="26" t="str">
        <x:v>F0906</x:v>
      </x:c>
      <x:c r="D2" s="26" t="str">
        <x:v>Robótica, digitalización e Industria 4.0</x:v>
      </x:c>
      <x:c r="E2" s="26" t="str">
        <x:v>AUSENTE</x:v>
      </x:c>
      <x:c r="F2" s="32" t="n">
        <x:v>0.23076923076923078</x:v>
      </x:c>
      <x:c r="G2" s="32" t="n">
        <x:v>0.002777777777777778</x:v>
      </x:c>
      <x:c r="H2" s="32" t="n">
        <x:v>0</x:v>
      </x:c>
      <x:c r="I2" s="26" t="str"/>
      <x:c r="J2" s="26" t="str">
        <x:v>S01; S12</x:v>
      </x:c>
      <x:c r="K2" s="26" t="str">
        <x:v>PP2; PP4; CPIA3; CPIA4; CPIA5</x:v>
      </x:c>
      <x:c r="L2" s="26" t="str">
        <x:v>Integrar digitalización/Industria 4.0 en Programación, Simulación, Automatización y Diseño de Plantas.</x:v>
      </x:c>
    </x:row>
    <x:row r="3">
      <x:c r="A3" s="26" t="str">
        <x:v>INTEGRAR</x:v>
      </x:c>
      <x:c r="B3" s="26" t="str">
        <x:v>Crítica</x:v>
      </x:c>
      <x:c r="C3" s="26" t="str">
        <x:v>F1102</x:v>
      </x:c>
      <x:c r="D3" s="26" t="str">
        <x:v>Análisis de ciclo de vida y ecodiseño</x:v>
      </x:c>
      <x:c r="E3" s="26" t="str">
        <x:v>AUSENTE</x:v>
      </x:c>
      <x:c r="F3" s="32" t="n">
        <x:v>0.15384615384615385</x:v>
      </x:c>
      <x:c r="G3" s="32" t="n">
        <x:v>0</x:v>
      </x:c>
      <x:c r="H3" s="32" t="n">
        <x:v>0</x:v>
      </x:c>
      <x:c r="I3" s="26" t="str"/>
      <x:c r="J3" s="26" t="str">
        <x:v>S03; S12</x:v>
      </x:c>
      <x:c r="K3" s="26" t="str">
        <x:v>PP2; CPIA3</x:v>
      </x:c>
      <x:c r="L3" s="26" t="str">
        <x:v>Integrar ACV/ecodiseño en Impacto Ambiental, Diseño de Plantas, innovación y proyectos.</x:v>
      </x:c>
    </x:row>
    <x:row r="4">
      <x:c r="A4" s="26" t="str">
        <x:v>INTEGRAR</x:v>
      </x:c>
      <x:c r="B4" s="26" t="str">
        <x:v>Crítica</x:v>
      </x:c>
      <x:c r="C4" s="26" t="str">
        <x:v>F1105</x:v>
      </x:c>
      <x:c r="D4" s="26" t="str">
        <x:v>Sostenibilidad y economía circular</x:v>
      </x:c>
      <x:c r="E4" s="26" t="str">
        <x:v>REQUISITO_GRADUACION</x:v>
      </x:c>
      <x:c r="F4" s="32" t="n">
        <x:v>0.07692307692307693</x:v>
      </x:c>
      <x:c r="G4" s="32" t="n">
        <x:v>0</x:v>
      </x:c>
      <x:c r="H4" s="32" t="n">
        <x:v>0</x:v>
      </x:c>
      <x:c r="I4" s="26" t="str">
        <x:v>AGRD600 Agricultura Ecológica</x:v>
      </x:c>
      <x:c r="J4" s="26" t="str">
        <x:v>S03; S12</x:v>
      </x:c>
      <x:c r="K4" s="26" t="str">
        <x:v>PP2; PP4; PP5; CPIA2; CPIA3; CPIA4; CPIA5</x:v>
      </x:c>
      <x:c r="L4" s="26" t="str">
        <x:v>Sostenibilidad y economía circular deben ser eje transversal y evaluable, no solo una asignatura aislada.</x:v>
      </x:c>
    </x:row>
    <x:row r="5">
      <x:c r="A5" s="26" t="str">
        <x:v>INTEGRAR</x:v>
      </x:c>
      <x:c r="B5" s="26" t="str">
        <x:v>Crítica</x:v>
      </x:c>
      <x:c r="C5" s="26" t="str">
        <x:v>F0108</x:v>
      </x:c>
      <x:c r="D5" s="26" t="str">
        <x:v>Ciencia de datos, IA y analítica</x:v>
      </x:c>
      <x:c r="E5" s="26" t="str">
        <x:v>AUSENTE</x:v>
      </x:c>
      <x:c r="F5" s="32" t="n">
        <x:v>0</x:v>
      </x:c>
      <x:c r="G5" s="32" t="n">
        <x:v>0</x:v>
      </x:c>
      <x:c r="H5" s="32" t="n">
        <x:v>0</x:v>
      </x:c>
      <x:c r="I5" s="26" t="str"/>
      <x:c r="J5" s="26" t="str">
        <x:v>S01; S12</x:v>
      </x:c>
      <x:c r="K5" s="26" t="str">
        <x:v>PP3; CPIA1; CPIA2; CPIA4</x:v>
      </x:c>
      <x:c r="L5" s="26" t="str">
        <x:v>Integrar análisis de datos/ML/IA en Estadística, Programación, Simulación y proyectos; evitar crear una materia aislada si puede articularse una secuencia.</x:v>
      </x:c>
    </x:row>
    <x:row r="6">
      <x:c r="A6" s="26" t="str">
        <x:v>AÑADIR</x:v>
      </x:c>
      <x:c r="B6" s="26" t="str">
        <x:v>Muy alta</x:v>
      </x:c>
      <x:c r="C6" s="26" t="str">
        <x:v>F0804</x:v>
      </x:c>
      <x:c r="D6" s="26" t="str">
        <x:v>Inocuidad y seguridad alimentaria / HACCP</x:v>
      </x:c>
      <x:c r="E6" s="26" t="str">
        <x:v>AUSENTE</x:v>
      </x:c>
      <x:c r="F6" s="32" t="n">
        <x:v>0.38461538461538464</x:v>
      </x:c>
      <x:c r="G6" s="32" t="n">
        <x:v>0.008680555555555554</x:v>
      </x:c>
      <x:c r="H6" s="32" t="n">
        <x:v>0</x:v>
      </x:c>
      <x:c r="I6" s="26" t="str"/>
      <x:c r="J6" s="26" t="str">
        <x:v>S05</x:v>
      </x:c>
      <x:c r="K6" s="26" t="str">
        <x:v>PP2; PP4; CPIA2; CPIA3</x:v>
      </x:c>
      <x:c r="L6" s="26" t="str">
        <x:v>Inocuidad/HACCP no aparece explícita en la malla central y es prioritaria para perfil, calidad y empleadores. Proponer unidad/asignatura explícita de inocuidad y gestión de riesgos alimentarios.</x:v>
      </x:c>
    </x:row>
    <x:row r="7">
      <x:c r="A7" s="26" t="str">
        <x:v>AÑADIR</x:v>
      </x:c>
      <x:c r="B7" s="26" t="str">
        <x:v>Muy alta</x:v>
      </x:c>
      <x:c r="C7" s="26" t="str">
        <x:v>F1401</x:v>
      </x:c>
      <x:c r="D7" s="26" t="str">
        <x:v>Desarrollo e innovación de productos alimentarios</x:v>
      </x:c>
      <x:c r="E7" s="26" t="str">
        <x:v>AUSENTE</x:v>
      </x:c>
      <x:c r="F7" s="32" t="n">
        <x:v>0.38461538461538464</x:v>
      </x:c>
      <x:c r="G7" s="32" t="n">
        <x:v>0.005092592592592592</x:v>
      </x:c>
      <x:c r="H7" s="32" t="n">
        <x:v>0</x:v>
      </x:c>
      <x:c r="I7" s="26" t="str"/>
      <x:c r="J7" s="26" t="str">
        <x:v>S06</x:v>
      </x:c>
      <x:c r="K7" s="26" t="str">
        <x:v>PP2; PP3; CPIA3; CPIA4</x:v>
      </x:c>
      <x:c r="L7" s="26" t="str">
        <x:v>Innovación y desarrollo de producto es tendencia internacional y prioridad local; la malla no tiene una asignatura explícita con ese propósito.</x:v>
      </x:c>
    </x:row>
    <x:row r="8">
      <x:c r="A8" s="26" t="str">
        <x:v>REFORZAR</x:v>
      </x:c>
      <x:c r="B8" s="26" t="str">
        <x:v>Muy alta</x:v>
      </x:c>
      <x:c r="C8" s="26" t="str">
        <x:v>F0502</x:v>
      </x:c>
      <x:c r="D8" s="26" t="str">
        <x:v>Operaciones unitarias generales</x:v>
      </x:c>
      <x:c r="E8" s="26" t="str">
        <x:v>CORE_PRINCIPAL</x:v>
      </x:c>
      <x:c r="F8" s="32" t="n">
        <x:v>0.8461538461538461</x:v>
      </x:c>
      <x:c r="G8" s="32" t="n">
        <x:v>0.03263888888888889</x:v>
      </x:c>
      <x:c r="H8" s="32" t="n">
        <x:v>0.022222222222222223</x:v>
      </x:c>
      <x:c r="I8" s="26" t="str">
        <x:v>AGRD613 Operaciones Unitarias Agroindustriales</x:v>
      </x:c>
      <x:c r="J8" s="26" t="str">
        <x:v>S04</x:v>
      </x:c>
      <x:c r="K8" s="26" t="str">
        <x:v>PP1; PP2; PP4; CPIA1; CPIA2; CPIA3; CPIA5</x:v>
      </x:c>
      <x:c r="L8" s="26" t="str">
        <x:v>Familia de identidad ingenieril EPN presente, pero con señal externa/estratégica que exige mayor aplicación, integración o actualización.</x:v>
      </x:c>
    </x:row>
    <x:row r="9">
      <x:c r="A9" s="26" t="str">
        <x:v>REFORZAR</x:v>
      </x:c>
      <x:c r="B9" s="26" t="str">
        <x:v>Muy alta</x:v>
      </x:c>
      <x:c r="C9" s="26" t="str">
        <x:v>F0803</x:v>
      </x:c>
      <x:c r="D9" s="26" t="str">
        <x:v>Gestión y aseguramiento de la calidad</x:v>
      </x:c>
      <x:c r="E9" s="26" t="str">
        <x:v>CORE_PRINCIPAL</x:v>
      </x:c>
      <x:c r="F9" s="32" t="n">
        <x:v>0.8461538461538461</x:v>
      </x:c>
      <x:c r="G9" s="32" t="n">
        <x:v>0.024652777777777773</x:v>
      </x:c>
      <x:c r="H9" s="32" t="n">
        <x:v>0.022222222222222223</x:v>
      </x:c>
      <x:c r="I9" s="26" t="str">
        <x:v>AGRD842 Aseguramiento Estadístico de la Calidad; ADMD611 Gestión de Procesos y Calidad</x:v>
      </x:c>
      <x:c r="J9" s="26" t="str">
        <x:v>S05</x:v>
      </x:c>
      <x:c r="K9" s="26" t="str">
        <x:v>PP2; PP4; CPIA2; CPIA3; CPIA5</x:v>
      </x:c>
      <x:c r="L9" s="26" t="str">
        <x:v>La familia ya está en la malla, pero graduados/empleadores o el perfil actualizado demandan mayor profundidad, práctica o actualidad.</x:v>
      </x:c>
    </x:row>
    <x:row r="10">
      <x:c r="A10" s="26" t="str">
        <x:v>REFORZAR</x:v>
      </x:c>
      <x:c r="B10" s="26" t="str">
        <x:v>Muy alta</x:v>
      </x:c>
      <x:c r="C10" s="26" t="str">
        <x:v>F0301</x:v>
      </x:c>
      <x:c r="D10" s="26" t="str">
        <x:v>Biología y fisiología</x:v>
      </x:c>
      <x:c r="E10" s="26" t="str">
        <x:v>CORE_PRINCIPAL</x:v>
      </x:c>
      <x:c r="F10" s="32" t="n">
        <x:v>0.7692307692307693</x:v>
      </x:c>
      <x:c r="G10" s="32" t="n">
        <x:v>0.029108796296296296</x:v>
      </x:c>
      <x:c r="H10" s="32" t="n">
        <x:v>0.014814814814814815</x:v>
      </x:c>
      <x:c r="I10" s="26" t="str">
        <x:v>IAQD462 Biología</x:v>
      </x:c>
      <x:c r="J10" s="26" t="str"/>
      <x:c r="K10" s="26" t="str"/>
      <x:c r="L10" s="26" t="str">
        <x:v>La familia está presente, pero su peso obligatorio EPN es sensiblemente menor que el promedio del benchmark Core.</x:v>
      </x:c>
    </x:row>
    <x:row r="11">
      <x:c r="A11" s="26" t="str">
        <x:v>REFORZAR</x:v>
      </x:c>
      <x:c r="B11" s="26" t="str">
        <x:v>Muy alta</x:v>
      </x:c>
      <x:c r="C11" s="26" t="str">
        <x:v>F1505</x:v>
      </x:c>
      <x:c r="D11" s="26" t="str">
        <x:v>Práctica externa / internship / stage</x:v>
      </x:c>
      <x:c r="E11" s="26" t="str">
        <x:v>CORE_PRINCIPAL</x:v>
      </x:c>
      <x:c r="F11" s="32" t="n">
        <x:v>0.6153846153846154</x:v>
      </x:c>
      <x:c r="G11" s="32" t="n">
        <x:v>0.027314814814814816</x:v>
      </x:c>
      <x:c r="H11" s="32" t="n">
        <x:v>0.037037037037037035</x:v>
      </x:c>
      <x:c r="I11" s="26" t="str">
        <x:v>PRLD105 Prácticas Laborales</x:v>
      </x:c>
      <x:c r="J11" s="26" t="str">
        <x:v>S07; S11</x:v>
      </x:c>
      <x:c r="K11" s="26" t="str"/>
      <x:c r="L11" s="26" t="str">
        <x:v>Mantener prácticas laborales y ampliar duración, calidad de experiencia, proyectos reales y articulación con empresas.</x:v>
      </x:c>
    </x:row>
    <x:row r="12">
      <x:c r="A12" s="26" t="str">
        <x:v>REFORZAR</x:v>
      </x:c>
      <x:c r="B12" s="26" t="str">
        <x:v>Muy alta</x:v>
      </x:c>
      <x:c r="C12" s="26" t="str">
        <x:v>F1507</x:v>
      </x:c>
      <x:c r="D12" s="26" t="str">
        <x:v>Taller / laboratorio integrador / proyecto práctico</x:v>
      </x:c>
      <x:c r="E12" s="26" t="str">
        <x:v>AUSENTE</x:v>
      </x:c>
      <x:c r="F12" s="32" t="n">
        <x:v>0.3076923076923077</x:v>
      </x:c>
      <x:c r="G12" s="32" t="n">
        <x:v>0.010532407407407407</x:v>
      </x:c>
      <x:c r="H12" s="32" t="n">
        <x:v>0</x:v>
      </x:c>
      <x:c r="I12" s="26" t="str"/>
      <x:c r="J12" s="26" t="str">
        <x:v>S07; S08; S11</x:v>
      </x:c>
      <x:c r="K12" s="26" t="str"/>
      <x:c r="L12" s="26" t="str">
        <x:v>EPN dispone de múltiples laboratorios, pero la retroalimentación pide más práctica; reforzar proyectos/laboratorios integradores y experiencias auténticas.</x:v>
      </x:c>
    </x:row>
    <x:row r="13">
      <x:c r="A13" s="26" t="str">
        <x:v>REFORZAR</x:v>
      </x:c>
      <x:c r="B13" s="26" t="str">
        <x:v>Muy alta</x:v>
      </x:c>
      <x:c r="C13" s="26" t="str">
        <x:v>F0106</x:v>
      </x:c>
      <x:c r="D13" s="26" t="str">
        <x:v>Métodos numéricos y programación</x:v>
      </x:c>
      <x:c r="E13" s="26" t="str">
        <x:v>CORE_PRINCIPAL</x:v>
      </x:c>
      <x:c r="F13" s="32" t="n">
        <x:v>0.15384615384615385</x:v>
      </x:c>
      <x:c r="G13" s="32" t="n">
        <x:v>0.002777777777777778</x:v>
      </x:c>
      <x:c r="H13" s="32" t="n">
        <x:v>0.014814814814814815</x:v>
      </x:c>
      <x:c r="I13" s="26" t="str">
        <x:v>IAQD262 Programación</x:v>
      </x:c>
      <x:c r="J13" s="26" t="str">
        <x:v>S01</x:v>
      </x:c>
      <x:c r="K13" s="26" t="str">
        <x:v>CPIA1</x:v>
      </x:c>
      <x:c r="L13" s="26" t="str">
        <x:v>La familia ya está en la malla, pero graduados/empleadores o el perfil actualizado demandan mayor profundidad, práctica o actualidad.</x:v>
      </x:c>
    </x:row>
    <x:row r="14">
      <x:c r="A14" s="26" t="str">
        <x:v>REFORZAR</x:v>
      </x:c>
      <x:c r="B14" s="26" t="str">
        <x:v>Muy alta</x:v>
      </x:c>
      <x:c r="C14" s="26" t="str">
        <x:v>F1602</x:v>
      </x:c>
      <x:c r="D14" s="26" t="str">
        <x:v>Comunicación académica y profesional</x:v>
      </x:c>
      <x:c r="E14" s="26" t="str">
        <x:v>CORE_PRINCIPAL + REQUISITO_GRADUACION</x:v>
      </x:c>
      <x:c r="F14" s="32" t="n">
        <x:v>0.07692307692307693</x:v>
      </x:c>
      <x:c r="G14" s="32" t="n">
        <x:v>0.0020833333333333333</x:v>
      </x:c>
      <x:c r="H14" s="32" t="n">
        <x:v>0.007407407407407408</x:v>
      </x:c>
      <x:c r="I14" s="26" t="str">
        <x:v>CSHD111 Comunicación Oral y Escrita; CSHD500 Asignatura de Comunicación</x:v>
      </x:c>
      <x:c r="J14" s="26" t="str">
        <x:v>S02; S09</x:v>
      </x:c>
      <x:c r="K14" s="26" t="str">
        <x:v>PP6</x:v>
      </x:c>
      <x:c r="L14" s="26" t="str">
        <x:v>Mantener comunicación y reforzarla transversalmente en reportes, presentaciones y proyectos.</x:v>
      </x:c>
    </x:row>
    <x:row r="15">
      <x:c r="A15" s="26" t="str">
        <x:v>REFORZAR</x:v>
      </x:c>
      <x:c r="B15" s="26" t="str">
        <x:v>Muy alta</x:v>
      </x:c>
      <x:c r="C15" s="26" t="str">
        <x:v>F0510</x:v>
      </x:c>
      <x:c r="D15" s="26" t="str">
        <x:v>Modelización, simulación y optimización de procesos</x:v>
      </x:c>
      <x:c r="E15" s="26" t="str">
        <x:v>CORE_PRINCIPAL</x:v>
      </x:c>
      <x:c r="F15" s="32" t="n">
        <x:v>0</x:v>
      </x:c>
      <x:c r="G15" s="32" t="n">
        <x:v>0</x:v>
      </x:c>
      <x:c r="H15" s="32" t="n">
        <x:v>0.014814814814814815</x:v>
      </x:c>
      <x:c r="I15" s="26" t="str">
        <x:v>AGRD822 Simulación de Procesos Agroindustriales</x:v>
      </x:c>
      <x:c r="J15" s="26" t="str">
        <x:v>S01; S04</x:v>
      </x:c>
      <x:c r="K15" s="26" t="str">
        <x:v>PP1; PP2; PP3; PP4; CPIA2; CPIA3; CPIA4; CPIA5</x:v>
      </x:c>
      <x:c r="L15" s="26" t="str">
        <x:v>Familia de identidad ingenieril EPN presente, pero con señal externa/estratégica que exige mayor aplicación, integración o actualización.</x:v>
      </x:c>
    </x:row>
    <x:row r="16">
      <x:c r="A16" s="26" t="str">
        <x:v>INTEGRAR</x:v>
      </x:c>
      <x:c r="B16" s="26" t="str">
        <x:v>Muy alta</x:v>
      </x:c>
      <x:c r="C16" s="26" t="str">
        <x:v>F0303</x:v>
      </x:c>
      <x:c r="D16" s="26" t="str">
        <x:v>Microbiología general</x:v>
      </x:c>
      <x:c r="E16" s="26" t="str">
        <x:v>AUSENTE</x:v>
      </x:c>
      <x:c r="F16" s="32" t="n">
        <x:v>0.7692307692307693</x:v>
      </x:c>
      <x:c r="G16" s="32" t="n">
        <x:v>0.037962962962962955</x:v>
      </x:c>
      <x:c r="H16" s="32" t="n">
        <x:v>0</x:v>
      </x:c>
      <x:c r="I16" s="26" t="str"/>
      <x:c r="J16" s="26" t="str"/>
      <x:c r="K16" s="26" t="str"/>
      <x:c r="L16" s="26" t="str">
        <x:v>Microbiología general es universal, pero EPN ya tiene Microbiología Industrial y de Alimentos; incorporar explícitamente fundamentos y prerrequisitos microbiológicos antes de añadir otra materia.</x:v>
      </x:c>
    </x:row>
    <x:row r="17">
      <x:c r="A17" s="26" t="str">
        <x:v>INTEGRAR</x:v>
      </x:c>
      <x:c r="B17" s="26" t="str">
        <x:v>Muy alta</x:v>
      </x:c>
      <x:c r="C17" s="26" t="str">
        <x:v>F1103</x:v>
      </x:c>
      <x:c r="D17" s="26" t="str">
        <x:v>Residuos, subproductos y valorización</x:v>
      </x:c>
      <x:c r="E17" s="26" t="str">
        <x:v>REQUISITO_GRADUACION</x:v>
      </x:c>
      <x:c r="F17" s="32" t="n">
        <x:v>0.3076923076923077</x:v>
      </x:c>
      <x:c r="G17" s="32" t="n">
        <x:v>0.006944444444444445</x:v>
      </x:c>
      <x:c r="H17" s="32" t="n">
        <x:v>0</x:v>
      </x:c>
      <x:c r="I17" s="26" t="str">
        <x:v>AGRD810 Subproductos Agroindustriales</x:v>
      </x:c>
      <x:c r="J17" s="26" t="str">
        <x:v>S03</x:v>
      </x:c>
      <x:c r="K17" s="26" t="str">
        <x:v>PP3; CPIA3; CPIA4</x:v>
      </x:c>
      <x:c r="L17" s="26" t="str">
        <x:v>Subproductos Agroindustriales existe como requisito de graduación; elevarlo a experiencia explícita y articulada con circularidad/valorización.</x:v>
      </x:c>
    </x:row>
    <x:row r="18">
      <x:c r="A18" s="26" t="str">
        <x:v>INTEGRAR</x:v>
      </x:c>
      <x:c r="B18" s="26" t="str">
        <x:v>Muy alta</x:v>
      </x:c>
      <x:c r="C18" s="26" t="str">
        <x:v>F1601</x:v>
      </x:c>
      <x:c r="D18" s="26" t="str">
        <x:v>Idioma extranjero</x:v>
      </x:c>
      <x:c r="E18" s="26" t="str">
        <x:v>REQUISITO_GRADUACION</x:v>
      </x:c>
      <x:c r="F18" s="32" t="n">
        <x:v>0.3076923076923077</x:v>
      </x:c>
      <x:c r="G18" s="32" t="n">
        <x:v>0.005555555555555556</x:v>
      </x:c>
      <x:c r="H18" s="32" t="n">
        <x:v>0</x:v>
      </x:c>
      <x:c r="I18" s="26" t="str">
        <x:v>IEXD200 Nivel de Suficiencia B1 en el idioma inglés</x:v>
      </x:c>
      <x:c r="J18" s="26" t="str">
        <x:v>S02</x:v>
      </x:c>
      <x:c r="K18" s="26" t="str">
        <x:v>PP6</x:v>
      </x:c>
      <x:c r="L18" s="26" t="str">
        <x:v>El B1 como requisito no basta para el perfil propuesto; integrar inglés técnico en asignaturas, informes y presentaciones.</x:v>
      </x:c>
    </x:row>
    <x:row r="19">
      <x:c r="A19" s="26" t="str">
        <x:v>INTEGRAR</x:v>
      </x:c>
      <x:c r="B19" s="26" t="str">
        <x:v>Muy alta</x:v>
      </x:c>
      <x:c r="C19" s="26" t="str">
        <x:v>F1603</x:v>
      </x:c>
      <x:c r="D19" s="26" t="str">
        <x:v>Ética, responsabilidad y desarrollo profesional</x:v>
      </x:c>
      <x:c r="E19" s="26" t="str">
        <x:v>AUSENTE</x:v>
      </x:c>
      <x:c r="F19" s="32" t="n">
        <x:v>0.15384615384615385</x:v>
      </x:c>
      <x:c r="G19" s="32" t="n">
        <x:v>0.001851851851851852</x:v>
      </x:c>
      <x:c r="H19" s="32" t="n">
        <x:v>0</x:v>
      </x:c>
      <x:c r="I19" s="26" t="str"/>
      <x:c r="J19" s="26" t="str">
        <x:v>S09; S10</x:v>
      </x:c>
      <x:c r="K19" s="26" t="str">
        <x:v>PP6</x:v>
      </x:c>
      <x:c r="L19" s="26" t="str">
        <x:v>La ética está en el objetivo/perfil; convertirla en resultados evaluables dentro de proyectos, prácticas, calidad y sostenibilidad.</x:v>
      </x:c>
    </x:row>
    <x:row r="20">
      <x:c r="A20" s="26" t="str">
        <x:v>INTEGRAR</x:v>
      </x:c>
      <x:c r="B20" s="26" t="str">
        <x:v>Muy alta</x:v>
      </x:c>
      <x:c r="C20" s="26" t="str">
        <x:v>F1106</x:v>
      </x:c>
      <x:c r="D20" s="26" t="str">
        <x:v>Bioenergía, biomasa y energía ambiental</x:v>
      </x:c>
      <x:c r="E20" s="26" t="str">
        <x:v>AUSENTE</x:v>
      </x:c>
      <x:c r="F20" s="32" t="n">
        <x:v>0.07692307692307693</x:v>
      </x:c>
      <x:c r="G20" s="32" t="n">
        <x:v>0</x:v>
      </x:c>
      <x:c r="H20" s="32" t="n">
        <x:v>0</x:v>
      </x:c>
      <x:c r="I20" s="26" t="str"/>
      <x:c r="J20" s="26" t="str">
        <x:v>S03</x:v>
      </x:c>
      <x:c r="K20" s="26" t="str"/>
      <x:c r="L20" s="26" t="str">
        <x:v>Demanda EPN/perfil relevante; incorporar como resultado transversal o módulo antes de crear una asignatura independiente.</x:v>
      </x:c>
    </x:row>
    <x:row r="21">
      <x:c r="A21" s="26" t="str">
        <x:v>INTEGRAR</x:v>
      </x:c>
      <x:c r="B21" s="26" t="str">
        <x:v>Muy alta</x:v>
      </x:c>
      <x:c r="C21" s="26" t="str">
        <x:v>F1206</x:v>
      </x:c>
      <x:c r="D21" s="26" t="str">
        <x:v>Gestión de producción y operaciones</x:v>
      </x:c>
      <x:c r="E21" s="26" t="str">
        <x:v>AUSENTE</x:v>
      </x:c>
      <x:c r="F21" s="32" t="n">
        <x:v>0</x:v>
      </x:c>
      <x:c r="G21" s="32" t="n">
        <x:v>0</x:v>
      </x:c>
      <x:c r="H21" s="32" t="n">
        <x:v>0</x:v>
      </x:c>
      <x:c r="I21" s="26" t="str"/>
      <x:c r="J21" s="26" t="str">
        <x:v>S04</x:v>
      </x:c>
      <x:c r="K21" s="26" t="str">
        <x:v>PP5; CPIA5</x:v>
      </x:c>
      <x:c r="L21" s="26" t="str">
        <x:v>Demanda EPN/perfil relevante; incorporar como resultado transversal o módulo antes de crear una asignatura independiente.</x:v>
      </x:c>
    </x:row>
    <x:row r="22">
      <x:c r="A22" s="26" t="str">
        <x:v>INTEGRAR</x:v>
      </x:c>
      <x:c r="B22" s="26" t="str">
        <x:v>Muy alta</x:v>
      </x:c>
      <x:c r="C22" s="26" t="str">
        <x:v>F1207</x:v>
      </x:c>
      <x:c r="D22" s="26" t="str">
        <x:v>Gestión de proyectos</x:v>
      </x:c>
      <x:c r="E22" s="26" t="str">
        <x:v>REQUISITO_GRADUACION</x:v>
      </x:c>
      <x:c r="F22" s="32" t="n">
        <x:v>0</x:v>
      </x:c>
      <x:c r="G22" s="32" t="n">
        <x:v>0</x:v>
      </x:c>
      <x:c r="H22" s="32" t="n">
        <x:v>0</x:v>
      </x:c>
      <x:c r="I22" s="26" t="str">
        <x:v>ADMD800 Formulación y Evaluación de Proyectos</x:v>
      </x:c>
      <x:c r="J22" s="26" t="str">
        <x:v>S10</x:v>
      </x:c>
      <x:c r="K22" s="26" t="str">
        <x:v>PP5</x:v>
      </x:c>
      <x:c r="L22" s="26" t="str">
        <x:v>Formulación y Evaluación de Proyectos existe como requisito; articularla con PP5 y una secuencia de proyecto/gestión.</x:v>
      </x:c>
    </x:row>
    <x:row r="23">
      <x:c r="A23" s="26" t="str">
        <x:v>INTEGRAR</x:v>
      </x:c>
      <x:c r="B23" s="26" t="str">
        <x:v>Muy alta</x:v>
      </x:c>
      <x:c r="C23" s="26" t="str">
        <x:v>F1403</x:v>
      </x:c>
      <x:c r="D23" s="26" t="str">
        <x:v>Investigación y desarrollo aplicado</x:v>
      </x:c>
      <x:c r="E23" s="26" t="str">
        <x:v>AUSENTE</x:v>
      </x:c>
      <x:c r="F23" s="32" t="n">
        <x:v>0</x:v>
      </x:c>
      <x:c r="G23" s="32" t="n">
        <x:v>0</x:v>
      </x:c>
      <x:c r="H23" s="32" t="n">
        <x:v>0</x:v>
      </x:c>
      <x:c r="I23" s="26" t="str"/>
      <x:c r="J23" s="26" t="str">
        <x:v>S06</x:v>
      </x:c>
      <x:c r="K23" s="26" t="str">
        <x:v>PP3; CPIA4</x:v>
      </x:c>
      <x:c r="L23" s="26" t="str">
        <x:v>Integrar I+D aplicada en Bioingeniería, laboratorios, simulación y trabajo de integración, con evidencia evaluable.</x:v>
      </x:c>
    </x:row>
    <x:row r="24">
      <x:c r="A24" s="26" t="str">
        <x:v>AÑADIR</x:v>
      </x:c>
      <x:c r="B24" s="26" t="str">
        <x:v>Alta</x:v>
      </x:c>
      <x:c r="C24" s="26" t="str">
        <x:v>F0905</x:v>
      </x:c>
      <x:c r="D24" s="26" t="str">
        <x:v>Automatización, control e instrumentación</x:v>
      </x:c>
      <x:c r="E24" s="26" t="str">
        <x:v>AUSENTE</x:v>
      </x:c>
      <x:c r="F24" s="32" t="n">
        <x:v>0.3076923076923077</x:v>
      </x:c>
      <x:c r="G24" s="32" t="n">
        <x:v>0.006250000000000001</x:v>
      </x:c>
      <x:c r="H24" s="32" t="n">
        <x:v>0</x:v>
      </x:c>
      <x:c r="I24" s="26" t="str"/>
      <x:c r="J24" s="26" t="str"/>
      <x:c r="K24" s="26" t="str">
        <x:v>PP4; CPIA5</x:v>
      </x:c>
      <x:c r="L24" s="26" t="str">
        <x:v>No existe curso explícito de automatización/control; la competencia digital-operacional del perfil ajustado y la práctica industrial justifican una unidad específica.</x:v>
      </x:c>
    </x:row>
    <x:row r="25">
      <x:c r="A25" s="26" t="str">
        <x:v>REFORZAR</x:v>
      </x:c>
      <x:c r="B25" s="26" t="str">
        <x:v>Alta</x:v>
      </x:c>
      <x:c r="C25" s="26" t="str">
        <x:v>F0604</x:v>
      </x:c>
      <x:c r="D25" s="26" t="str">
        <x:v>Tecnología / procesamiento general de alimentos</x:v>
      </x:c>
      <x:c r="E25" s="26" t="str">
        <x:v>CORE_PRINCIPAL + ITINERARIO</x:v>
      </x:c>
      <x:c r="F25" s="32" t="n">
        <x:v>0.6153846153846154</x:v>
      </x:c>
      <x:c r="G25" s="32" t="n">
        <x:v>0.04374999999999999</x:v>
      </x:c>
      <x:c r="H25" s="32" t="n">
        <x:v>0.022222222222222223</x:v>
      </x:c>
      <x:c r="I25" s="26" t="str">
        <x:v>AGRD733 Ingeniería de Alimentos; AGRD801 Tecnología de Alimentos I; AGRD901 Tecnología de Alimentos II</x:v>
      </x:c>
      <x:c r="J25" s="26" t="str"/>
      <x:c r="K25" s="26" t="str">
        <x:v>PP1; PP2; CPIA3</x:v>
      </x:c>
      <x:c r="L25" s="26" t="str">
        <x:v>La familia está presente, pero su peso obligatorio EPN es sensiblemente menor que el promedio del benchmark Core.</x:v>
      </x:c>
    </x:row>
    <x:row r="26">
      <x:c r="A26" s="26" t="str">
        <x:v>REFORZAR</x:v>
      </x:c>
      <x:c r="B26" s="26" t="str">
        <x:v>Alta</x:v>
      </x:c>
      <x:c r="C26" s="26" t="str">
        <x:v>F1202</x:v>
      </x:c>
      <x:c r="D26" s="26" t="str">
        <x:v>Administración y gestión empresarial</x:v>
      </x:c>
      <x:c r="E26" s="26" t="str">
        <x:v>CORE_PRINCIPAL + CORE_SECUNDARIA</x:v>
      </x:c>
      <x:c r="F26" s="32" t="n">
        <x:v>0.5384615384615384</x:v>
      </x:c>
      <x:c r="G26" s="32" t="n">
        <x:v>0.017824074074074076</x:v>
      </x:c>
      <x:c r="H26" s="32" t="n">
        <x:v>0.007407407407407408</x:v>
      </x:c>
      <x:c r="I26" s="26" t="str">
        <x:v>ADMD511 Gestión Organizacional; ADMD611 Gestión de Procesos y Calidad</x:v>
      </x:c>
      <x:c r="J26" s="26" t="str"/>
      <x:c r="K26" s="26" t="str">
        <x:v>PP5; CPIA5</x:v>
      </x:c>
      <x:c r="L26" s="26" t="str">
        <x:v>La familia está presente, pero su peso obligatorio EPN es sensiblemente menor que el promedio del benchmark Core.</x:v>
      </x:c>
    </x:row>
    <x:row r="27">
      <x:c r="A27" s="26" t="str">
        <x:v>INTEGRAR</x:v>
      </x:c>
      <x:c r="B27" s="26" t="str">
        <x:v>Alta</x:v>
      </x:c>
      <x:c r="C27" s="26" t="str">
        <x:v>F0605</x:v>
      </x:c>
      <x:c r="D27" s="26" t="str">
        <x:v>Conservación de alimentos y tecnologías emergentes</x:v>
      </x:c>
      <x:c r="E27" s="26" t="str">
        <x:v>AUSENTE</x:v>
      </x:c>
      <x:c r="F27" s="32" t="n">
        <x:v>0.38461538461538464</x:v>
      </x:c>
      <x:c r="G27" s="32" t="n">
        <x:v>0.007523148148148148</x:v>
      </x:c>
      <x:c r="H27" s="32" t="n">
        <x:v>0</x:v>
      </x:c>
      <x:c r="I27" s="26" t="str"/>
      <x:c r="J27" s="26" t="str"/>
      <x:c r="K27" s="26" t="str">
        <x:v>PP2; CPIA3</x:v>
      </x:c>
      <x:c r="L27" s="26" t="str">
        <x:v>Incorporar conservación y tecnologías emergentes en Ingeniería de Alimentos/itinerario; si los PEA muestran ausencia, escalar a AÑADIR.</x:v>
      </x:c>
    </x:row>
    <x:row r="28">
      <x:c r="A28" s="26" t="str">
        <x:v>INTEGRAR</x:v>
      </x:c>
      <x:c r="B28" s="26" t="str">
        <x:v>Alta</x:v>
      </x:c>
      <x:c r="C28" s="26" t="str">
        <x:v>F0305</x:v>
      </x:c>
      <x:c r="D28" s="26" t="str">
        <x:v>Biotecnología y biología molecular</x:v>
      </x:c>
      <x:c r="E28" s="26" t="str">
        <x:v>CORE_SECUNDARIA + ITINERARIO</x:v>
      </x:c>
      <x:c r="F28" s="32" t="n">
        <x:v>0.23076923076923078</x:v>
      </x:c>
      <x:c r="G28" s="32" t="n">
        <x:v>0.012962962962962963</x:v>
      </x:c>
      <x:c r="H28" s="32" t="n">
        <x:v>0</x:v>
      </x:c>
      <x:c r="I28" s="26" t="str">
        <x:v>AGRD723 Bioingeniería; AGRD802 Biotecnología Agroindustrial I; AGRD902 Biotecnología Agroindustrial II</x:v>
      </x:c>
      <x:c r="J28" s="26" t="str"/>
      <x:c r="K28" s="26" t="str">
        <x:v>PP3; CPIA4</x:v>
      </x:c>
      <x:c r="L28" s="26" t="str">
        <x:v>La cobertura existe solo como componente secundario; conviene hacerla explícita dentro de una o varias asignaturas existentes.</x:v>
      </x:c>
    </x:row>
    <x:row r="29">
      <x:c r="A29" s="26" t="str">
        <x:v>INTEGRAR</x:v>
      </x:c>
      <x:c r="B29" s="26" t="str">
        <x:v>Alta</x:v>
      </x:c>
      <x:c r="C29" s="26" t="str">
        <x:v>F1208</x:v>
      </x:c>
      <x:c r="D29" s="26" t="str">
        <x:v>Emprendimiento y modelos de negocio</x:v>
      </x:c>
      <x:c r="E29" s="26" t="str">
        <x:v>REQUISITO_GRADUACION</x:v>
      </x:c>
      <x:c r="F29" s="32" t="n">
        <x:v>0.23076923076923078</x:v>
      </x:c>
      <x:c r="G29" s="32" t="n">
        <x:v>0.005092592592592592</x:v>
      </x:c>
      <x:c r="H29" s="32" t="n">
        <x:v>0</x:v>
      </x:c>
      <x:c r="I29" s="26" t="str">
        <x:v>ADMD700 Emprendimiento</x:v>
      </x:c>
      <x:c r="J29" s="26" t="str"/>
      <x:c r="K29" s="26" t="str">
        <x:v>PP5</x:v>
      </x:c>
      <x:c r="L29" s="26" t="str">
        <x:v>Emprendimiento ya es requisito; integrarlo con innovación, modelo de negocio y proyecto final.</x:v>
      </x:c>
    </x:row>
    <x:row r="30">
      <x:c r="A30" s="26" t="str">
        <x:v>INTEGRAR</x:v>
      </x:c>
      <x:c r="B30" s="26" t="str">
        <x:v>Alta</x:v>
      </x:c>
      <x:c r="C30" s="26" t="str">
        <x:v>F0105</x:v>
      </x:c>
      <x:c r="D30" s="26" t="str">
        <x:v>Diseño experimental y análisis multivariante</x:v>
      </x:c>
      <x:c r="E30" s="26" t="str">
        <x:v>AUSENTE</x:v>
      </x:c>
      <x:c r="F30" s="32" t="n">
        <x:v>0</x:v>
      </x:c>
      <x:c r="G30" s="32" t="n">
        <x:v>0</x:v>
      </x:c>
      <x:c r="H30" s="32" t="n">
        <x:v>0</x:v>
      </x:c>
      <x:c r="I30" s="26" t="str"/>
      <x:c r="J30" s="26" t="str"/>
      <x:c r="K30" s="26" t="str">
        <x:v>CPIA2; CPIA4</x:v>
      </x:c>
      <x:c r="L30" s="26" t="str">
        <x:v>Demanda EPN/perfil relevante; incorporar como resultado transversal o módulo antes de crear una asignatura independiente.</x:v>
      </x:c>
    </x:row>
    <x:row r="31">
      <x:c r="A31" s="26" t="str">
        <x:v>INTEGRAR</x:v>
      </x:c>
      <x:c r="B31" s="26" t="str">
        <x:v>Alta</x:v>
      </x:c>
      <x:c r="C31" s="26" t="str">
        <x:v>F1404</x:v>
      </x:c>
      <x:c r="D31" s="26" t="str">
        <x:v>Diseño experimental aplicado a I+D</x:v>
      </x:c>
      <x:c r="E31" s="26" t="str">
        <x:v>AUSENTE</x:v>
      </x:c>
      <x:c r="F31" s="32" t="n">
        <x:v>0</x:v>
      </x:c>
      <x:c r="G31" s="32" t="n">
        <x:v>0</x:v>
      </x:c>
      <x:c r="H31" s="32" t="n">
        <x:v>0</x:v>
      </x:c>
      <x:c r="I31" s="26" t="str"/>
      <x:c r="J31" s="26" t="str"/>
      <x:c r="K31" s="26" t="str">
        <x:v>PP3; CPIA4</x:v>
      </x:c>
      <x:c r="L31" s="26" t="str">
        <x:v>Demanda EPN/perfil relevante; incorporar como resultado transversal o módulo antes de crear una asignatura independiente.</x:v>
      </x:c>
    </x:row>
    <x:row r="32">
      <x:c r="A32" s="26" t="str">
        <x:v>REFORZAR</x:v>
      </x:c>
      <x:c r="B32" s="26" t="str">
        <x:v>Media</x:v>
      </x:c>
      <x:c r="C32" s="26" t="str">
        <x:v>F1503</x:v>
      </x:c>
      <x:c r="D32" s="26" t="str">
        <x:v>Trabajo Fin de Grado / Bachelor thesis</x:v>
      </x:c>
      <x:c r="E32" s="26" t="str">
        <x:v>CORE_SECUNDARIA</x:v>
      </x:c>
      <x:c r="F32" s="32" t="n">
        <x:v>0.6923076923076923</x:v>
      </x:c>
      <x:c r="G32" s="32" t="n">
        <x:v>0.03587962962962962</x:v>
      </x:c>
      <x:c r="H32" s="32" t="n">
        <x:v>0</x:v>
      </x:c>
      <x:c r="I32" s="26" t="str">
        <x:v>TITD201 Trabajo de Integración Curricular / Examen de Carácter Complexivo</x:v>
      </x:c>
      <x:c r="J32" s="26" t="str"/>
      <x:c r="K32" s="26" t="str"/>
      <x:c r="L32" s="26" t="str">
        <x:v>Asegurar evidencia de integración/diseño para todos los estudiantes, incluso cuando la modalidad de culminación sea examen complexivo.</x:v>
      </x:c>
    </x:row>
    <x:row r="33">
      <x:c r="A33" s="26" t="str">
        <x:v>REFORZAR</x:v>
      </x:c>
      <x:c r="B33" s="26" t="str">
        <x:v>Media</x:v>
      </x:c>
      <x:c r="C33" s="26" t="str">
        <x:v>F0907</x:v>
      </x:c>
      <x:c r="D33" s="26" t="str">
        <x:v>Envases, materiales y packaging</x:v>
      </x:c>
      <x:c r="E33" s="26" t="str">
        <x:v>REQUISITO_GRADUACION</x:v>
      </x:c>
      <x:c r="F33" s="32" t="n">
        <x:v>0.3076923076923077</x:v>
      </x:c>
      <x:c r="G33" s="32" t="n">
        <x:v>0.005092592592592592</x:v>
      </x:c>
      <x:c r="H33" s="32" t="n">
        <x:v>0</x:v>
      </x:c>
      <x:c r="I33" s="26" t="str">
        <x:v>AGRD700 Agroplasticultura</x:v>
      </x:c>
      <x:c r="J33" s="26" t="str"/>
      <x:c r="K33" s="26" t="str"/>
      <x:c r="L33" s="26" t="str">
        <x:v>La cobertura es ambigua mediante Polímeros/Agroplasticultura; rediseñar hacia envases, biomateriales y packaging sostenible.</x:v>
      </x:c>
    </x:row>
    <x:row r="34">
      <x:c r="A34" s="26" t="str">
        <x:v>REFORZAR</x:v>
      </x:c>
      <x:c r="B34" s="26" t="str">
        <x:v>Media</x:v>
      </x:c>
      <x:c r="C34" s="26" t="str">
        <x:v>F1501</x:v>
      </x:c>
      <x:c r="D34" s="26" t="str">
        <x:v>Proyecto de ingeniería / oficina técnica</x:v>
      </x:c>
      <x:c r="E34" s="26" t="str">
        <x:v>CORE_PRINCIPAL</x:v>
      </x:c>
      <x:c r="F34" s="32" t="n">
        <x:v>0.3076923076923077</x:v>
      </x:c>
      <x:c r="G34" s="32" t="n">
        <x:v>0.005555555555555557</x:v>
      </x:c>
      <x:c r="H34" s="32" t="n">
        <x:v>0.007407407407407408</x:v>
      </x:c>
      <x:c r="I34" s="26" t="str">
        <x:v>TITD101 Diseño de Trabajo de Integración Curricular / Preparación Examen de Carácter Complexivo</x:v>
      </x:c>
      <x:c r="J34" s="26" t="str"/>
      <x:c r="K34" s="26" t="str"/>
      <x:c r="L34" s="26" t="str">
        <x:v>La familia ya está en la malla, pero graduados/empleadores o el perfil actualizado demandan mayor profundidad, práctica o actualidad.</x:v>
      </x:c>
    </x:row>
    <x:row r="35">
      <x:c r="A35" s="26" t="str">
        <x:v>REFORZAR</x:v>
      </x:c>
      <x:c r="B35" s="26" t="str">
        <x:v>Media</x:v>
      </x:c>
      <x:c r="C35" s="26" t="str">
        <x:v>F1502</x:v>
      </x:c>
      <x:c r="D35" s="26" t="str">
        <x:v>Proyecto integrador / capstone</x:v>
      </x:c>
      <x:c r="E35" s="26" t="str">
        <x:v>CORE_PRINCIPAL</x:v>
      </x:c>
      <x:c r="F35" s="32" t="n">
        <x:v>0</x:v>
      </x:c>
      <x:c r="G35" s="32" t="n">
        <x:v>0</x:v>
      </x:c>
      <x:c r="H35" s="32" t="n">
        <x:v>0.037037037037037035</x:v>
      </x:c>
      <x:c r="I35" s="26" t="str">
        <x:v>TITD201 Trabajo de Integración Curricular / Examen de Carácter Complexivo</x:v>
      </x:c>
      <x:c r="J35" s="26" t="str"/>
      <x:c r="K35" s="26" t="str"/>
      <x:c r="L35" s="26" t="str">
        <x:v>La familia ya está en la malla, pero graduados/empleadores o el perfil actualizado demandan mayor profundidad, práctica o actualidad.</x:v>
      </x:c>
    </x:row>
    <x:row r="36">
      <x:c r="A36" s="26" t="str">
        <x:v>INTEGRAR</x:v>
      </x:c>
      <x:c r="B36" s="26" t="str">
        <x:v>Media</x:v>
      </x:c>
      <x:c r="C36" s="26" t="str">
        <x:v>F0601</x:v>
      </x:c>
      <x:c r="D36" s="26" t="str">
        <x:v>Química y bioquímica de alimentos</x:v>
      </x:c>
      <x:c r="E36" s="26" t="str">
        <x:v>AUSENTE</x:v>
      </x:c>
      <x:c r="F36" s="32" t="n">
        <x:v>0.5384615384615384</x:v>
      </x:c>
      <x:c r="G36" s="32" t="n">
        <x:v>0.02152777777777778</x:v>
      </x:c>
      <x:c r="H36" s="32" t="n">
        <x:v>0</x:v>
      </x:c>
      <x:c r="I36" s="26" t="str"/>
      <x:c r="J36" s="26" t="str"/>
      <x:c r="K36" s="26" t="str"/>
      <x:c r="L36" s="26" t="str">
        <x:v>Verificar e integrar química/bioquímica de alimentos entre Análisis de Alimentos, Bioquímica, Química Bioorgánica e Ingeniería de Alimentos antes de crear una asignatura adicional.</x:v>
      </x:c>
    </x:row>
    <x:row r="37">
      <x:c r="A37" s="26" t="str">
        <x:v>INTEGRAR</x:v>
      </x:c>
      <x:c r="B37" s="26" t="str">
        <x:v>Media</x:v>
      </x:c>
      <x:c r="C37" s="26" t="str">
        <x:v>F0908</x:v>
      </x:c>
      <x:c r="D37" s="26" t="str">
        <x:v>Sistemas energéticos y utilidades térmicas</x:v>
      </x:c>
      <x:c r="E37" s="26" t="str">
        <x:v>AUSENTE</x:v>
      </x:c>
      <x:c r="F37" s="32" t="n">
        <x:v>0.38461538461538464</x:v>
      </x:c>
      <x:c r="G37" s="32" t="n">
        <x:v>0.010416666666666666</x:v>
      </x:c>
      <x:c r="H37" s="32" t="n">
        <x:v>0</x:v>
      </x:c>
      <x:c r="I37" s="26" t="str"/>
      <x:c r="J37" s="26" t="str"/>
      <x:c r="K37" s="26" t="str"/>
      <x:c r="L37" s="26" t="str">
        <x:v>Demanda EPN/perfil relevante; incorporar como resultado transversal o módulo antes de crear una asignatura independiente.</x:v>
      </x:c>
    </x:row>
    <x:row r="38">
      <x:c r="A38" s="26" t="str">
        <x:v>INTEGRAR</x:v>
      </x:c>
      <x:c r="B38" s="26" t="str">
        <x:v>Media</x:v>
      </x:c>
      <x:c r="C38" s="26" t="str">
        <x:v>F0805</x:v>
      </x:c>
      <x:c r="D38" s="26" t="str">
        <x:v>Higiene, saneamiento y diseño higiénico</x:v>
      </x:c>
      <x:c r="E38" s="26" t="str">
        <x:v>AUSENTE</x:v>
      </x:c>
      <x:c r="F38" s="32" t="n">
        <x:v>0.23076923076923078</x:v>
      </x:c>
      <x:c r="G38" s="32" t="n">
        <x:v>0.010185185185185184</x:v>
      </x:c>
      <x:c r="H38" s="32" t="n">
        <x:v>0</x:v>
      </x:c>
      <x:c r="I38" s="26" t="str"/>
      <x:c r="J38" s="26" t="str"/>
      <x:c r="K38" s="26" t="str"/>
      <x:c r="L38" s="26" t="str">
        <x:v>Demanda EPN/perfil relevante; incorporar como resultado transversal o módulo antes de crear una asignatura independiente.</x:v>
      </x:c>
    </x:row>
    <x:row r="39">
      <x:c r="A39" s="26" t="str">
        <x:v>INTEGRAR</x:v>
      </x:c>
      <x:c r="B39" s="26" t="str">
        <x:v>Media</x:v>
      </x:c>
      <x:c r="C39" s="26" t="str">
        <x:v>F0807</x:v>
      </x:c>
      <x:c r="D39" s="26" t="str">
        <x:v>Trazabilidad, certificación y auditoría</x:v>
      </x:c>
      <x:c r="E39" s="26" t="str">
        <x:v>AUSENTE</x:v>
      </x:c>
      <x:c r="F39" s="32" t="n">
        <x:v>0</x:v>
      </x:c>
      <x:c r="G39" s="32" t="n">
        <x:v>0</x:v>
      </x:c>
      <x:c r="H39" s="32" t="n">
        <x:v>0</x:v>
      </x:c>
      <x:c r="I39" s="26" t="str"/>
      <x:c r="J39" s="26" t="str"/>
      <x:c r="K39" s="26" t="str"/>
      <x:c r="L39" s="26" t="str">
        <x:v>Demanda EPN/perfil relevante; incorporar como resultado transversal o módulo antes de crear una asignatura independiente.</x:v>
      </x:c>
    </x:row>
    <x:row r="40">
      <x:c r="A40" s="26" t="str">
        <x:v>MANTENER</x:v>
      </x:c>
      <x:c r="B40" s="26" t="str">
        <x:v>Media</x:v>
      </x:c>
      <x:c r="C40" s="26" t="str">
        <x:v>F0101</x:v>
      </x:c>
      <x:c r="D40" s="26" t="str">
        <x:v>Cálculo y matemática general</x:v>
      </x:c>
      <x:c r="E40" s="26" t="str">
        <x:v>CORE_PRINCIPAL</x:v>
      </x:c>
      <x:c r="F40" s="32" t="n">
        <x:v>1</x:v>
      </x:c>
      <x:c r="G40" s="32" t="n">
        <x:v>0.045370370370370366</x:v>
      </x:c>
      <x:c r="H40" s="32" t="n">
        <x:v>0.05185185185185185</x:v>
      </x:c>
      <x:c r="I40" s="26" t="str">
        <x:v>MATD123 Cálculo en una Variable; IAQD222 Matemática Aplicada en Ingeniería I; IAQD312 Matemática Aplicada en Ingeniería II</x:v>
      </x:c>
      <x:c r="J40" s="26" t="str"/>
      <x:c r="K40" s="26" t="str">
        <x:v>CPIA1</x:v>
      </x:c>
      <x:c r="L40" s="26" t="str">
        <x:v>Cobertura explícita en la malla EPN y sin brecha prioritaria suficiente para justificar aumento de carga.</x:v>
      </x:c>
    </x:row>
    <x:row r="41">
      <x:c r="A41" s="26" t="str">
        <x:v>MANTENER</x:v>
      </x:c>
      <x:c r="B41" s="26" t="str">
        <x:v>Media</x:v>
      </x:c>
      <x:c r="C41" s="26" t="str">
        <x:v>F0201</x:v>
      </x:c>
      <x:c r="D41" s="26" t="str">
        <x:v>Física general y aplicada</x:v>
      </x:c>
      <x:c r="E41" s="26" t="str">
        <x:v>CORE_PRINCIPAL</x:v>
      </x:c>
      <x:c r="F41" s="32" t="n">
        <x:v>1</x:v>
      </x:c>
      <x:c r="G41" s="32" t="n">
        <x:v>0.045370370370370366</x:v>
      </x:c>
      <x:c r="H41" s="32" t="n">
        <x:v>0.044444444444444446</x:v>
      </x:c>
      <x:c r="I41" s="26" t="str">
        <x:v>FISD134 Mecánica Newtoniana; IAQD242 Física para Ingeniería</x:v>
      </x:c>
      <x:c r="J41" s="26" t="str"/>
      <x:c r="K41" s="26" t="str">
        <x:v>CPIA1</x:v>
      </x:c>
      <x:c r="L41" s="26" t="str">
        <x:v>Cobertura explícita en la malla EPN y sin brecha prioritaria suficiente para justificar aumento de carga.</x:v>
      </x:c>
    </x:row>
    <x:row r="42">
      <x:c r="A42" s="26" t="str">
        <x:v>MANTENER</x:v>
      </x:c>
      <x:c r="B42" s="26" t="str">
        <x:v>Media</x:v>
      </x:c>
      <x:c r="C42" s="26" t="str">
        <x:v>F0202</x:v>
      </x:c>
      <x:c r="D42" s="26" t="str">
        <x:v>Química general e inorgánica</x:v>
      </x:c>
      <x:c r="E42" s="26" t="str">
        <x:v>CORE_PRINCIPAL</x:v>
      </x:c>
      <x:c r="F42" s="32" t="n">
        <x:v>1</x:v>
      </x:c>
      <x:c r="G42" s="32" t="n">
        <x:v>0.04212962962962963</x:v>
      </x:c>
      <x:c r="H42" s="32" t="n">
        <x:v>0.044444444444444446</x:v>
      </x:c>
      <x:c r="I42" s="26" t="str">
        <x:v>QUID143 Química General; IAQD253 Química Avanzada</x:v>
      </x:c>
      <x:c r="J42" s="26" t="str"/>
      <x:c r="K42" s="26" t="str">
        <x:v>CPIA1</x:v>
      </x:c>
      <x:c r="L42" s="26" t="str">
        <x:v>Cobertura explícita en la malla EPN y sin brecha prioritaria suficiente para justificar aumento de carga.</x:v>
      </x:c>
    </x:row>
    <x:row r="43">
      <x:c r="A43" s="26" t="str">
        <x:v>MANTENER</x:v>
      </x:c>
      <x:c r="B43" s="26" t="str">
        <x:v>Media</x:v>
      </x:c>
      <x:c r="C43" s="26" t="str">
        <x:v>F0104</x:v>
      </x:c>
      <x:c r="D43" s="26" t="str">
        <x:v>Estadística y probabilidad</x:v>
      </x:c>
      <x:c r="E43" s="26" t="str">
        <x:v>CORE_PRINCIPAL + CORE_SECUNDARIA</x:v>
      </x:c>
      <x:c r="F43" s="32" t="n">
        <x:v>0.6923076923076923</x:v>
      </x:c>
      <x:c r="G43" s="32" t="n">
        <x:v>0.018287037037037036</x:v>
      </x:c>
      <x:c r="H43" s="32" t="n">
        <x:v>0.022222222222222223</x:v>
      </x:c>
      <x:c r="I43" s="26" t="str">
        <x:v>MATD223 Probabilidad y Estadística Básicas; AGRD842 Aseguramiento Estadístico de la Calidad</x:v>
      </x:c>
      <x:c r="J43" s="26" t="str"/>
      <x:c r="K43" s="26" t="str">
        <x:v>CPIA1; CPIA2</x:v>
      </x:c>
      <x:c r="L43" s="26" t="str">
        <x:v>Cobertura explícita en la malla EPN y sin brecha prioritaria suficiente para justificar aumento de carga.</x:v>
      </x:c>
    </x:row>
    <x:row r="44">
      <x:c r="A44" s="26" t="str">
        <x:v>MANTENER</x:v>
      </x:c>
      <x:c r="B44" s="26" t="str">
        <x:v>Media</x:v>
      </x:c>
      <x:c r="C44" s="26" t="str">
        <x:v>F0302</x:v>
      </x:c>
      <x:c r="D44" s="26" t="str">
        <x:v>Bioquímica y metabolismo</x:v>
      </x:c>
      <x:c r="E44" s="26" t="str">
        <x:v>CORE_PRINCIPAL</x:v>
      </x:c>
      <x:c r="F44" s="32" t="n">
        <x:v>0.6923076923076923</x:v>
      </x:c>
      <x:c r="G44" s="32" t="n">
        <x:v>0.02476851851851852</x:v>
      </x:c>
      <x:c r="H44" s="32" t="n">
        <x:v>0.037037037037037035</x:v>
      </x:c>
      <x:c r="I44" s="26" t="str">
        <x:v>AGRD443 Química Bioorgánica; IAQD562 Bioquímica</x:v>
      </x:c>
      <x:c r="J44" s="26" t="str"/>
      <x:c r="K44" s="26" t="str"/>
      <x:c r="L44" s="26" t="str">
        <x:v>Cobertura explícita en la malla EPN y sin brecha prioritaria suficiente para justificar aumento de carga.</x:v>
      </x:c>
    </x:row>
    <x:row r="45">
      <x:c r="A45" s="26" t="str">
        <x:v>MANTENER</x:v>
      </x:c>
      <x:c r="B45" s="26" t="str">
        <x:v>Media</x:v>
      </x:c>
      <x:c r="C45" s="26" t="str">
        <x:v>F1001</x:v>
      </x:c>
      <x:c r="D45" s="26" t="str">
        <x:v>Producción vegetal y fitotecnia</x:v>
      </x:c>
      <x:c r="E45" s="26" t="str">
        <x:v>CORE_PRINCIPAL + REQUISITO_GRADUACION</x:v>
      </x:c>
      <x:c r="F45" s="32" t="n">
        <x:v>0.6923076923076923</x:v>
      </x:c>
      <x:c r="G45" s="32" t="n">
        <x:v>0.030671296296296294</x:v>
      </x:c>
      <x:c r="H45" s="32" t="n">
        <x:v>0.044444444444444446</x:v>
      </x:c>
      <x:c r="I45" s="26" t="str">
        <x:v>AGRD553 Introducción a la Producción Vegetal; AGRD633 Producción Vegetal; AGRD600 Agricultura Ecológica; AGRD700 Agroplasticultura</x:v>
      </x:c>
      <x:c r="J45" s="26" t="str"/>
      <x:c r="K45" s="26" t="str">
        <x:v>PP1</x:v>
      </x:c>
      <x:c r="L45" s="26" t="str">
        <x:v>Cobertura explícita en la malla EPN y sin brecha prioritaria suficiente para justificar aumento de carga.</x:v>
      </x:c>
    </x:row>
    <x:row r="46">
      <x:c r="A46" s="26" t="str">
        <x:v>MANTENER</x:v>
      </x:c>
      <x:c r="B46" s="26" t="str">
        <x:v>Media</x:v>
      </x:c>
      <x:c r="C46" s="26" t="str">
        <x:v>F1002</x:v>
      </x:c>
      <x:c r="D46" s="26" t="str">
        <x:v>Producción animal y zootecnia</x:v>
      </x:c>
      <x:c r="E46" s="26" t="str">
        <x:v>CORE_PRINCIPAL</x:v>
      </x:c>
      <x:c r="F46" s="32" t="n">
        <x:v>0.6153846153846154</x:v>
      </x:c>
      <x:c r="G46" s="32" t="n">
        <x:v>0.016435185185185188</x:v>
      </x:c>
      <x:c r="H46" s="32" t="n">
        <x:v>0.044444444444444446</x:v>
      </x:c>
      <x:c r="I46" s="26" t="str">
        <x:v>AGRD563 Introducción a la Producción Animal; AGRD643 Producción Animal</x:v>
      </x:c>
      <x:c r="J46" s="26" t="str"/>
      <x:c r="K46" s="26" t="str">
        <x:v>PP1</x:v>
      </x:c>
      <x:c r="L46" s="26" t="str">
        <x:v>Cobertura explícita en la malla EPN y sin brecha prioritaria suficiente para justificar aumento de carga.</x:v>
      </x:c>
    </x:row>
    <x:row r="47">
      <x:c r="A47" s="26" t="str">
        <x:v>MANTENER</x:v>
      </x:c>
      <x:c r="B47" s="26" t="str">
        <x:v>Media</x:v>
      </x:c>
      <x:c r="C47" s="26" t="str">
        <x:v>F1201</x:v>
      </x:c>
      <x:c r="D47" s="26" t="str">
        <x:v>Economía y sistemas agroalimentarios</x:v>
      </x:c>
      <x:c r="E47" s="26" t="str">
        <x:v>CORE_PRINCIPAL</x:v>
      </x:c>
      <x:c r="F47" s="32" t="n">
        <x:v>0.6153846153846154</x:v>
      </x:c>
      <x:c r="G47" s="32" t="n">
        <x:v>0.02164351851851852</x:v>
      </x:c>
      <x:c r="H47" s="32" t="n">
        <x:v>0.014814814814814815</x:v>
      </x:c>
      <x:c r="I47" s="26" t="str">
        <x:v>CSHD211 Análisis Socioeconómico y Político del Ecuador; CSHD400 Asignatura de Economía y Sociedad</x:v>
      </x:c>
      <x:c r="J47" s="26" t="str"/>
      <x:c r="K47" s="26" t="str"/>
      <x:c r="L47" s="26" t="str">
        <x:v>Cobertura explícita en la malla EPN y sin brecha prioritaria suficiente para justificar aumento de carga.</x:v>
      </x:c>
    </x:row>
    <x:row r="48">
      <x:c r="A48" s="26" t="str">
        <x:v>MANTENER</x:v>
      </x:c>
      <x:c r="B48" s="26" t="str">
        <x:v>Media</x:v>
      </x:c>
      <x:c r="C48" s="26" t="str">
        <x:v>F0107</x:v>
      </x:c>
      <x:c r="D48" s="26" t="str">
        <x:v>Informática, bases de datos y software</x:v>
      </x:c>
      <x:c r="E48" s="26" t="str">
        <x:v>CORE_PRINCIPAL</x:v>
      </x:c>
      <x:c r="F48" s="32" t="n">
        <x:v>0.5384615384615384</x:v>
      </x:c>
      <x:c r="G48" s="32" t="n">
        <x:v>0.008564814814814815</x:v>
      </x:c>
      <x:c r="H48" s="32" t="n">
        <x:v>0.007407407407407408</x:v>
      </x:c>
      <x:c r="I48" s="26" t="str">
        <x:v>ICOD111 Herramientas Informáticas</x:v>
      </x:c>
      <x:c r="J48" s="26" t="str"/>
      <x:c r="K48" s="26" t="str">
        <x:v>CPIA1</x:v>
      </x:c>
      <x:c r="L48" s="26" t="str">
        <x:v>Cobertura explícita en la malla EPN y sin brecha prioritaria suficiente para justificar aumento de carga.</x:v>
      </x:c>
    </x:row>
    <x:row r="49">
      <x:c r="A49" s="26" t="str">
        <x:v>MANTENER</x:v>
      </x:c>
      <x:c r="B49" s="26" t="str">
        <x:v>Media</x:v>
      </x:c>
      <x:c r="C49" s="26" t="str">
        <x:v>F0801</x:v>
      </x:c>
      <x:c r="D49" s="26" t="str">
        <x:v>Análisis químico, físico e instrumental de alimentos</x:v>
      </x:c>
      <x:c r="E49" s="26" t="str">
        <x:v>CORE_PRINCIPAL</x:v>
      </x:c>
      <x:c r="F49" s="32" t="n">
        <x:v>0.5384615384615384</x:v>
      </x:c>
      <x:c r="G49" s="32" t="n">
        <x:v>0.014351851851851852</x:v>
      </x:c>
      <x:c r="H49" s="32" t="n">
        <x:v>0.02962962962962963</x:v>
      </x:c>
      <x:c r="I49" s="26" t="str">
        <x:v>AGRD354 Análisis Instrumental y de Alimentos</x:v>
      </x:c>
      <x:c r="J49" s="26" t="str"/>
      <x:c r="K49" s="26" t="str"/>
      <x:c r="L49" s="26" t="str">
        <x:v>Cobertura explícita en la malla EPN y sin brecha prioritaria suficiente para justificar aumento de carga.</x:v>
      </x:c>
    </x:row>
    <x:row r="50">
      <x:c r="A50" s="26" t="str">
        <x:v>MANTENER</x:v>
      </x:c>
      <x:c r="B50" s="26" t="str">
        <x:v>Media</x:v>
      </x:c>
      <x:c r="C50" s="26" t="str">
        <x:v>F0203</x:v>
      </x:c>
      <x:c r="D50" s="26" t="str">
        <x:v>Química orgánica</x:v>
      </x:c>
      <x:c r="E50" s="26" t="str">
        <x:v>CORE_PRINCIPAL + CORE_SECUNDARIA</x:v>
      </x:c>
      <x:c r="F50" s="32" t="n">
        <x:v>0.38461538461538464</x:v>
      </x:c>
      <x:c r="G50" s="32" t="n">
        <x:v>0.013425925925925924</x:v>
      </x:c>
      <x:c r="H50" s="32" t="n">
        <x:v>0.022222222222222223</x:v>
      </x:c>
      <x:c r="I50" s="26" t="str">
        <x:v>IAQD343 Química Orgánica I; AGRD443 Química Bioorgánica</x:v>
      </x:c>
      <x:c r="J50" s="26" t="str"/>
      <x:c r="K50" s="26" t="str">
        <x:v>CPIA1</x:v>
      </x:c>
      <x:c r="L50" s="26" t="str">
        <x:v>Cobertura explícita en la malla EPN y sin brecha prioritaria suficiente para justificar aumento de carga.</x:v>
      </x:c>
    </x:row>
    <x:row r="51">
      <x:c r="A51" s="26" t="str">
        <x:v>MANTENER</x:v>
      </x:c>
      <x:c r="B51" s="26" t="str">
        <x:v>Media</x:v>
      </x:c>
      <x:c r="C51" s="26" t="str">
        <x:v>F0402</x:v>
      </x:c>
      <x:c r="D51" s="26" t="str">
        <x:v>Mecánica de fluidos e hidráulica</x:v>
      </x:c>
      <x:c r="E51" s="26" t="str">
        <x:v>CORE_PRINCIPAL</x:v>
      </x:c>
      <x:c r="F51" s="32" t="n">
        <x:v>0.38461538461538464</x:v>
      </x:c>
      <x:c r="G51" s="32" t="n">
        <x:v>0.008043981481481482</x:v>
      </x:c>
      <x:c r="H51" s="32" t="n">
        <x:v>0.014814814814814815</x:v>
      </x:c>
      <x:c r="I51" s="26" t="str">
        <x:v>AGRD522 Mecánica de Fluidos</x:v>
      </x:c>
      <x:c r="J51" s="26" t="str"/>
      <x:c r="K51" s="26" t="str">
        <x:v>PP1; CPIA1; CPIA2</x:v>
      </x:c>
      <x:c r="L51" s="26" t="str">
        <x:v>Familia explícitamente coherente con la identidad ingenieril EPN; su baja frecuencia en Food Science no justifica eliminación.</x:v>
      </x:c>
    </x:row>
    <x:row r="52">
      <x:c r="A52" s="26" t="str">
        <x:v>MANTENER</x:v>
      </x:c>
      <x:c r="B52" s="26" t="str">
        <x:v>Media</x:v>
      </x:c>
      <x:c r="C52" s="26" t="str">
        <x:v>F1005</x:v>
      </x:c>
      <x:c r="D52" s="26" t="str">
        <x:v>Edafología, geología y climatología</x:v>
      </x:c>
      <x:c r="E52" s="26" t="str">
        <x:v>CORE_PRINCIPAL</x:v>
      </x:c>
      <x:c r="F52" s="32" t="n">
        <x:v>0.38461538461538464</x:v>
      </x:c>
      <x:c r="G52" s="32" t="n">
        <x:v>0.009895833333333335</x:v>
      </x:c>
      <x:c r="H52" s="32" t="n">
        <x:v>0.022222222222222223</x:v>
      </x:c>
      <x:c r="I52" s="26" t="str">
        <x:v>AGRD453 Manejo de Suelos Agrícolas</x:v>
      </x:c>
      <x:c r="J52" s="26" t="str"/>
      <x:c r="K52" s="26" t="str"/>
      <x:c r="L52" s="26" t="str">
        <x:v>Cobertura explícita en la malla EPN y sin brecha prioritaria suficiente para justificar aumento de carga.</x:v>
      </x:c>
    </x:row>
    <x:row r="53">
      <x:c r="A53" s="26" t="str">
        <x:v>MANTENER</x:v>
      </x:c>
      <x:c r="B53" s="26" t="str">
        <x:v>Media</x:v>
      </x:c>
      <x:c r="C53" s="26" t="str">
        <x:v>F1101</x:v>
      </x:c>
      <x:c r="D53" s="26" t="str">
        <x:v>Ecología e impacto ambiental</x:v>
      </x:c>
      <x:c r="E53" s="26" t="str">
        <x:v>CORE_PRINCIPAL + REQUISITO_GRADUACION</x:v>
      </x:c>
      <x:c r="F53" s="32" t="n">
        <x:v>0.38461538461538464</x:v>
      </x:c>
      <x:c r="G53" s="32" t="n">
        <x:v>0.0076388888888888895</x:v>
      </x:c>
      <x:c r="H53" s="32" t="n">
        <x:v>0.014814814814814815</x:v>
      </x:c>
      <x:c r="I53" s="26" t="str">
        <x:v>IAQD722 Evaluación de Impacto y Auditoría Ambiental; AMBD900 Ecología y Ambiente</x:v>
      </x:c>
      <x:c r="J53" s="26" t="str"/>
      <x:c r="K53" s="26" t="str"/>
      <x:c r="L53" s="26" t="str">
        <x:v>Cobertura explícita en la malla EPN y sin brecha prioritaria suficiente para justificar aumento de carga.</x:v>
      </x:c>
    </x:row>
    <x:row r="54">
      <x:c r="A54" s="26" t="str">
        <x:v>MANTENER</x:v>
      </x:c>
      <x:c r="B54" s="26" t="str">
        <x:v>Media</x:v>
      </x:c>
      <x:c r="C54" s="26" t="str">
        <x:v>F0901</x:v>
      </x:c>
      <x:c r="D54" s="26" t="str">
        <x:v>Diseño de plantas e industrias alimentarias</x:v>
      </x:c>
      <x:c r="E54" s="26" t="str">
        <x:v>CORE_PRINCIPAL</x:v>
      </x:c>
      <x:c r="F54" s="32" t="n">
        <x:v>0.3076923076923077</x:v>
      </x:c>
      <x:c r="G54" s="32" t="n">
        <x:v>0.011111111111111113</x:v>
      </x:c>
      <x:c r="H54" s="32" t="n">
        <x:v>0.02962962962962963</x:v>
      </x:c>
      <x:c r="I54" s="26" t="str">
        <x:v>AGRD814 Diseño de Plantas Agroindustriales</x:v>
      </x:c>
      <x:c r="J54" s="26" t="str"/>
      <x:c r="K54" s="26" t="str">
        <x:v>PP1; PP2; PP4; CPIA3; CPIA5</x:v>
      </x:c>
      <x:c r="L54" s="26" t="str">
        <x:v>Familia explícitamente coherente con la identidad ingenieril EPN; su baja frecuencia en Food Science no justifica eliminación.</x:v>
      </x:c>
    </x:row>
    <x:row r="55">
      <x:c r="A55" s="26" t="str">
        <x:v>MANTENER</x:v>
      </x:c>
      <x:c r="B55" s="26" t="str">
        <x:v>Media</x:v>
      </x:c>
      <x:c r="C55" s="26" t="str">
        <x:v>F1204</x:v>
      </x:c>
      <x:c r="D55" s="26" t="str">
        <x:v>Marketing y comercialización</x:v>
      </x:c>
      <x:c r="E55" s="26" t="str">
        <x:v>CORE_PRINCIPAL</x:v>
      </x:c>
      <x:c r="F55" s="32" t="n">
        <x:v>0.3076923076923077</x:v>
      </x:c>
      <x:c r="G55" s="32" t="n">
        <x:v>0.002777777777777778</x:v>
      </x:c>
      <x:c r="H55" s="32" t="n">
        <x:v>0.007407407407407408</x:v>
      </x:c>
      <x:c r="I55" s="26" t="str">
        <x:v>AGRD761 Agrocomercio</x:v>
      </x:c>
      <x:c r="J55" s="26" t="str"/>
      <x:c r="K55" s="26" t="str"/>
      <x:c r="L55" s="26" t="str">
        <x:v>Cobertura explícita en la malla EPN y sin brecha prioritaria suficiente para justificar aumento de carga.</x:v>
      </x:c>
    </x:row>
    <x:row r="56">
      <x:c r="A56" s="26" t="str">
        <x:v>MANTENER</x:v>
      </x:c>
      <x:c r="B56" s="26" t="str">
        <x:v>Media</x:v>
      </x:c>
      <x:c r="C56" s="26" t="str">
        <x:v>F0102</x:v>
      </x:c>
      <x:c r="D56" s="26" t="str">
        <x:v>Álgebra lineal y geometría</x:v>
      </x:c>
      <x:c r="E56" s="26" t="str">
        <x:v>CORE_PRINCIPAL</x:v>
      </x:c>
      <x:c r="F56" s="32" t="n">
        <x:v>0.23076923076923078</x:v>
      </x:c>
      <x:c r="G56" s="32" t="n">
        <x:v>0.009722222222222222</x:v>
      </x:c>
      <x:c r="H56" s="32" t="n">
        <x:v>0.022222222222222223</x:v>
      </x:c>
      <x:c r="I56" s="26" t="str">
        <x:v>MATD113 Álgebra Lineal</x:v>
      </x:c>
      <x:c r="J56" s="26" t="str"/>
      <x:c r="K56" s="26" t="str">
        <x:v>CPIA1</x:v>
      </x:c>
      <x:c r="L56" s="26" t="str">
        <x:v>Cobertura explícita en la malla EPN y sin brecha prioritaria suficiente para justificar aumento de carga.</x:v>
      </x:c>
    </x:row>
    <x:row r="57">
      <x:c r="A57" s="26" t="str">
        <x:v>MANTENER</x:v>
      </x:c>
      <x:c r="B57" s="26" t="str">
        <x:v>Media</x:v>
      </x:c>
      <x:c r="C57" s="26" t="str">
        <x:v>F0304</x:v>
      </x:c>
      <x:c r="D57" s="26" t="str">
        <x:v>Microbiología alimentaria e industrial</x:v>
      </x:c>
      <x:c r="E57" s="26" t="str">
        <x:v>CORE_PRINCIPAL</x:v>
      </x:c>
      <x:c r="F57" s="32" t="n">
        <x:v>0.23076923076923078</x:v>
      </x:c>
      <x:c r="G57" s="32" t="n">
        <x:v>0.004398148148148148</x:v>
      </x:c>
      <x:c r="H57" s="32" t="n">
        <x:v>0.022222222222222223</x:v>
      </x:c>
      <x:c r="I57" s="26" t="str">
        <x:v>AGRD623 Microbiología Industrial y de Alimentos</x:v>
      </x:c>
      <x:c r="J57" s="26" t="str"/>
      <x:c r="K57" s="26" t="str"/>
      <x:c r="L57" s="26" t="str">
        <x:v>Cobertura explícita en la malla EPN y sin brecha prioritaria suficiente para justificar aumento de carga.</x:v>
      </x:c>
    </x:row>
    <x:row r="58">
      <x:c r="A58" s="26" t="str">
        <x:v>MANTENER</x:v>
      </x:c>
      <x:c r="B58" s="26" t="str">
        <x:v>Media</x:v>
      </x:c>
      <x:c r="C58" s="26" t="str">
        <x:v>F0401</x:v>
      </x:c>
      <x:c r="D58" s="26" t="str">
        <x:v>Termodinámica</x:v>
      </x:c>
      <x:c r="E58" s="26" t="str">
        <x:v>CORE_PRINCIPAL</x:v>
      </x:c>
      <x:c r="F58" s="32" t="n">
        <x:v>0.23076923076923078</x:v>
      </x:c>
      <x:c r="G58" s="32" t="n">
        <x:v>0.00787037037037037</x:v>
      </x:c>
      <x:c r="H58" s="32" t="n">
        <x:v>0.037037037037037035</x:v>
      </x:c>
      <x:c r="I58" s="26" t="str">
        <x:v>IAQD333 Termodinámica I; IAQD432 Termodinámica II</x:v>
      </x:c>
      <x:c r="J58" s="26" t="str"/>
      <x:c r="K58" s="26" t="str">
        <x:v>PP1; CPIA1; CPIA2</x:v>
      </x:c>
      <x:c r="L58" s="26" t="str">
        <x:v>Familia explícitamente coherente con la identidad ingenieril EPN; su baja frecuencia en Food Science no justifica eliminación.</x:v>
      </x:c>
    </x:row>
    <x:row r="59">
      <x:c r="A59" s="26" t="str">
        <x:v>MANTENER</x:v>
      </x:c>
      <x:c r="B59" s="26" t="str">
        <x:v>Media</x:v>
      </x:c>
      <x:c r="C59" s="26" t="str">
        <x:v>F0403</x:v>
      </x:c>
      <x:c r="D59" s="26" t="str">
        <x:v>Transferencia de calor</x:v>
      </x:c>
      <x:c r="E59" s="26" t="str">
        <x:v>CORE_PRINCIPAL</x:v>
      </x:c>
      <x:c r="F59" s="32" t="n">
        <x:v>0.23076923076923078</x:v>
      </x:c>
      <x:c r="G59" s="32" t="n">
        <x:v>0.007175925925925926</x:v>
      </x:c>
      <x:c r="H59" s="32" t="n">
        <x:v>0.02962962962962963</x:v>
      </x:c>
      <x:c r="I59" s="26" t="str">
        <x:v>AGRD534 Transferencia de Masa y Calor</x:v>
      </x:c>
      <x:c r="J59" s="26" t="str"/>
      <x:c r="K59" s="26" t="str">
        <x:v>PP1; CPIA1; CPIA2</x:v>
      </x:c>
      <x:c r="L59" s="26" t="str">
        <x:v>Familia explícitamente coherente con la identidad ingenieril EPN; su baja frecuencia en Food Science no justifica eliminación.</x:v>
      </x:c>
    </x:row>
    <x:row r="60">
      <x:c r="A60" s="26" t="str">
        <x:v>MANTENER</x:v>
      </x:c>
      <x:c r="B60" s="26" t="str">
        <x:v>Media</x:v>
      </x:c>
      <x:c r="C60" s="26" t="str">
        <x:v>F1203</x:v>
      </x:c>
      <x:c r="D60" s="26" t="str">
        <x:v>Costos, valoración y finanzas</x:v>
      </x:c>
      <x:c r="E60" s="26" t="str">
        <x:v>CORE_PRINCIPAL</x:v>
      </x:c>
      <x:c r="F60" s="32" t="n">
        <x:v>0.23076923076923078</x:v>
      </x:c>
      <x:c r="G60" s="32" t="n">
        <x:v>0.0034722222222222225</x:v>
      </x:c>
      <x:c r="H60" s="32" t="n">
        <x:v>0.007407407407407408</x:v>
      </x:c>
      <x:c r="I60" s="26" t="str">
        <x:v>ADMD711 Ingeniería Financiera</x:v>
      </x:c>
      <x:c r="J60" s="26" t="str"/>
      <x:c r="K60" s="26" t="str">
        <x:v>PP5; CPIA2; CPIA5</x:v>
      </x:c>
      <x:c r="L60" s="26" t="str">
        <x:v>Cobertura explícita en la malla EPN y sin brecha prioritaria suficiente para justificar aumento de carga.</x:v>
      </x:c>
    </x:row>
    <x:row r="61">
      <x:c r="A61" s="26" t="str">
        <x:v>MANTENER</x:v>
      </x:c>
      <x:c r="B61" s="26" t="str">
        <x:v>Media</x:v>
      </x:c>
      <x:c r="C61" s="26" t="str">
        <x:v>F0103</x:v>
      </x:c>
      <x:c r="D61" s="26" t="str">
        <x:v>Ecuaciones diferenciales y modelización matemática</x:v>
      </x:c>
      <x:c r="E61" s="26" t="str">
        <x:v>CORE_PRINCIPAL</x:v>
      </x:c>
      <x:c r="F61" s="32" t="n">
        <x:v>0.07692307692307693</x:v>
      </x:c>
      <x:c r="G61" s="32" t="n">
        <x:v>0.001388888888888889</x:v>
      </x:c>
      <x:c r="H61" s="32" t="n">
        <x:v>0.022222222222222223</x:v>
      </x:c>
      <x:c r="I61" s="26" t="str">
        <x:v>MATD213 Ecuaciones Diferenciales Ordinarias</x:v>
      </x:c>
      <x:c r="J61" s="26" t="str"/>
      <x:c r="K61" s="26" t="str">
        <x:v>CPIA1</x:v>
      </x:c>
      <x:c r="L61" s="26" t="str">
        <x:v>Cobertura explícita en la malla EPN y sin brecha prioritaria suficiente para justificar aumento de carga.</x:v>
      </x:c>
    </x:row>
    <x:row r="62">
      <x:c r="A62" s="26" t="str">
        <x:v>MANTENER</x:v>
      </x:c>
      <x:c r="B62" s="26" t="str">
        <x:v>Media</x:v>
      </x:c>
      <x:c r="C62" s="26" t="str">
        <x:v>F1606</x:v>
      </x:c>
      <x:c r="D62" s="26" t="str">
        <x:v>Humanidades, deporte y formación general</x:v>
      </x:c>
      <x:c r="E62" s="26" t="str">
        <x:v>CORE_PRINCIPAL + CORE_SECUNDARIA + REQUISITO_GRADUACION</x:v>
      </x:c>
      <x:c r="F62" s="32" t="n">
        <x:v>0.07692307692307693</x:v>
      </x:c>
      <x:c r="G62" s="32" t="n">
        <x:v>0</x:v>
      </x:c>
      <x:c r="H62" s="32" t="n">
        <x:v>0.007407407407407408</x:v>
      </x:c>
      <x:c r="I62" s="26" t="str">
        <x:v>CSHD300 Asignatura de Artes y Humanidades; CSHD211 Análisis Socioeconómico y Político del Ecuador; CSHD400 Asignatura de Economía y Sociedad; DEPD110 Deportes; SOCD210 Clubes</x:v>
      </x:c>
      <x:c r="J62" s="26" t="str"/>
      <x:c r="K62" s="26" t="str"/>
      <x:c r="L62" s="26" t="str">
        <x:v>Cobertura explícita en la malla EPN y sin brecha prioritaria suficiente para justificar aumento de carga.</x:v>
      </x:c>
    </x:row>
    <x:row r="63">
      <x:c r="A63" s="26" t="str">
        <x:v>MANTENER</x:v>
      </x:c>
      <x:c r="B63" s="26" t="str">
        <x:v>Media</x:v>
      </x:c>
      <x:c r="C63" s="26" t="str">
        <x:v>F0002</x:v>
      </x:c>
      <x:c r="D63" s="26" t="str">
        <x:v>Especialización / parcours no desagregado</x:v>
      </x:c>
      <x:c r="E63" s="26" t="str">
        <x:v>CORE_PRINCIPAL</x:v>
      </x:c>
      <x:c r="F63" s="32" t="n">
        <x:v>0</x:v>
      </x:c>
      <x:c r="G63" s="32" t="n">
        <x:v>0</x:v>
      </x:c>
      <x:c r="H63" s="32" t="n">
        <x:v>0.05185185185185185</x:v>
      </x:c>
      <x:c r="I63" s="26" t="str">
        <x:v>AGRD800 Itinerario Básico; AGRD900 Itinerario Avanzado</x:v>
      </x:c>
      <x:c r="J63" s="26" t="str"/>
      <x:c r="K63" s="26" t="str"/>
      <x:c r="L63" s="26" t="str">
        <x:v>Cobertura explícita en la malla EPN y sin brecha prioritaria suficiente para justificar aumento de carga.</x:v>
      </x:c>
    </x:row>
    <x:row r="64">
      <x:c r="A64" s="26" t="str">
        <x:v>MANTENER</x:v>
      </x:c>
      <x:c r="B64" s="26" t="str">
        <x:v>Media</x:v>
      </x:c>
      <x:c r="C64" s="26" t="str">
        <x:v>F0306</x:v>
      </x:c>
      <x:c r="D64" s="26" t="str">
        <x:v>Bioprocesos y bioproducción</x:v>
      </x:c>
      <x:c r="E64" s="26" t="str">
        <x:v>CORE_PRINCIPAL + ITINERARIO</x:v>
      </x:c>
      <x:c r="F64" s="32" t="n">
        <x:v>0</x:v>
      </x:c>
      <x:c r="G64" s="32" t="n">
        <x:v>0</x:v>
      </x:c>
      <x:c r="H64" s="32" t="n">
        <x:v>0.022222222222222223</x:v>
      </x:c>
      <x:c r="I64" s="26" t="str">
        <x:v>AGRD723 Bioingeniería; AGRD802 Biotecnología Agroindustrial I; AGRD902 Biotecnología Agroindustrial II</x:v>
      </x:c>
      <x:c r="J64" s="26" t="str"/>
      <x:c r="K64" s="26" t="str">
        <x:v>PP3; CPIA4</x:v>
      </x:c>
      <x:c r="L64" s="26" t="str">
        <x:v>Cobertura explícita en la malla EPN y sin brecha prioritaria suficiente para justificar aumento de carga.</x:v>
      </x:c>
    </x:row>
    <x:row r="65">
      <x:c r="A65" s="26" t="str">
        <x:v>MANTENER</x:v>
      </x:c>
      <x:c r="B65" s="26" t="str">
        <x:v>Media</x:v>
      </x:c>
      <x:c r="C65" s="26" t="str">
        <x:v>F0404</x:v>
      </x:c>
      <x:c r="D65" s="26" t="str">
        <x:v>Transferencia de masa</x:v>
      </x:c>
      <x:c r="E65" s="26" t="str">
        <x:v>CORE_SECUNDARIA</x:v>
      </x:c>
      <x:c r="F65" s="32" t="n">
        <x:v>0</x:v>
      </x:c>
      <x:c r="G65" s="32" t="n">
        <x:v>0</x:v>
      </x:c>
      <x:c r="H65" s="32" t="n">
        <x:v>0</x:v>
      </x:c>
      <x:c r="I65" s="26" t="str">
        <x:v>AGRD534 Transferencia de Masa y Calor</x:v>
      </x:c>
      <x:c r="J65" s="26" t="str"/>
      <x:c r="K65" s="26" t="str">
        <x:v>PP1; CPIA1; CPIA2</x:v>
      </x:c>
      <x:c r="L65" s="26" t="str">
        <x:v>Familia explícitamente coherente con la identidad ingenieril EPN; su baja frecuencia en Food Science no justifica eliminación.</x:v>
      </x:c>
    </x:row>
    <x:row r="66">
      <x:c r="A66" s="26" t="str">
        <x:v>MANTENER</x:v>
      </x:c>
      <x:c r="B66" s="26" t="str">
        <x:v>Media</x:v>
      </x:c>
      <x:c r="C66" s="26" t="str">
        <x:v>F0501</x:v>
      </x:c>
      <x:c r="D66" s="26" t="str">
        <x:v>Balances de materia y energía</x:v>
      </x:c>
      <x:c r="E66" s="26" t="str">
        <x:v>CORE_PRINCIPAL</x:v>
      </x:c>
      <x:c r="F66" s="32" t="n">
        <x:v>0</x:v>
      </x:c>
      <x:c r="G66" s="32" t="n">
        <x:v>0</x:v>
      </x:c>
      <x:c r="H66" s="32" t="n">
        <x:v>0.044444444444444446</x:v>
      </x:c>
      <x:c r="I66" s="26" t="str">
        <x:v>IAQD323 Balance de Masa; IAQD423 Balance de Energía</x:v>
      </x:c>
      <x:c r="J66" s="26" t="str"/>
      <x:c r="K66" s="26" t="str">
        <x:v>PP1; CPIA1; CPIA2</x:v>
      </x:c>
      <x:c r="L66" s="26" t="str">
        <x:v>Familia explícitamente coherente con la identidad ingenieril EPN; su baja frecuencia en Food Science no justifica eliminación.</x:v>
      </x:c>
    </x:row>
    <x:row r="67">
      <x:c r="A67" s="26" t="str">
        <x:v>MANTENER</x:v>
      </x:c>
      <x:c r="B67" s="26" t="str">
        <x:v>Media</x:v>
      </x:c>
      <x:c r="C67" s="26" t="str">
        <x:v>F1004</x:v>
      </x:c>
      <x:c r="D67" s="26" t="str">
        <x:v>Poscosecha y conservación de materia prima</x:v>
      </x:c>
      <x:c r="E67" s="26" t="str">
        <x:v>CORE_PRINCIPAL</x:v>
      </x:c>
      <x:c r="F67" s="32" t="n">
        <x:v>0</x:v>
      </x:c>
      <x:c r="G67" s="32" t="n">
        <x:v>0</x:v>
      </x:c>
      <x:c r="H67" s="32" t="n">
        <x:v>0.014814814814814815</x:v>
      </x:c>
      <x:c r="I67" s="26" t="str">
        <x:v>AGRD752 Poscosecha</x:v>
      </x:c>
      <x:c r="J67" s="26" t="str"/>
      <x:c r="K67" s="26" t="str">
        <x:v>PP1</x:v>
      </x:c>
      <x:c r="L67" s="26" t="str">
        <x:v>Cobertura explícita en la malla EPN y sin brecha prioritaria suficiente para justificar aumento de carga.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22" hidden="0" customWidth="1"/>
    <x:col min="5" max="5" width="22" hidden="0" customWidth="1"/>
    <x:col min="6" max="6" width="22" hidden="0" customWidth="1"/>
    <x:col min="7" max="7" width="65" hidden="0" customWidth="1"/>
    <x:col min="8" max="8" width="65" hidden="0" customWidth="1"/>
    <x:col min="9" max="9" width="65" hidden="0" customWidth="1"/>
  </x:cols>
  <x:sheetData>
    <x:row r="1">
      <x:c r="A1" s="14" t="str">
        <x:v>ID</x:v>
      </x:c>
      <x:c r="B1" s="14" t="str">
        <x:v>Accion</x:v>
      </x:c>
      <x:c r="C1" s="14" t="str">
        <x:v>Cambio_propuesto</x:v>
      </x:c>
      <x:c r="D1" s="14" t="str">
        <x:v>Familias</x:v>
      </x:c>
      <x:c r="E1" s="14" t="str">
        <x:v>Creditos_orientativos</x:v>
      </x:c>
      <x:c r="F1" s="14" t="str">
        <x:v>Prioridad</x:v>
      </x:c>
      <x:c r="G1" s="14" t="str">
        <x:v>Fundamento</x:v>
      </x:c>
      <x:c r="H1" s="14" t="str">
        <x:v>Diseño_recomendado</x:v>
      </x:c>
      <x:c r="I1" s="14" t="str">
        <x:v>Condicion</x:v>
      </x:c>
    </x:row>
    <x:row r="2">
      <x:c r="A2" s="26" t="str">
        <x:v>C01</x:v>
      </x:c>
      <x:c r="B2" s="26" t="str">
        <x:v>AÑADIR</x:v>
      </x:c>
      <x:c r="C2" s="26" t="str">
        <x:v>Inocuidad y Gestión de Riesgos Agroalimentarios</x:v>
      </x:c>
      <x:c r="D2" s="26" t="str">
        <x:v>F0804</x:v>
      </x:c>
      <x:c r="E2" s="26" t="str">
        <x:v>2–3 créditos indicativos</x:v>
      </x:c>
      <x:c r="F2" s="26" t="str">
        <x:v>Muy alta</x:v>
      </x:c>
      <x:c r="G2" s="26" t="str">
        <x:v>Familia presente en 38% del Core; EPN no la explicita; calidad/inocuidad es prioridad de graduados y aparece repetidamente en el perfil ajustado.</x:v>
      </x:c>
      <x:c r="H2" s="26" t="str">
        <x:v>Puede absorber/rediseñar IAQD511 Seguridad Industrial y Salud Ocupacional; conservar seguridad industrial dentro del nuevo alcance.</x:v>
      </x:c>
      <x:c r="I2" s="26" t="str">
        <x:v>No cerrar créditos hasta revisar PEA de ADMD611/AGRD733/IAQD511.</x:v>
      </x:c>
    </x:row>
    <x:row r="3">
      <x:c r="A3" s="26" t="str">
        <x:v>C02</x:v>
      </x:c>
      <x:c r="B3" s="26" t="str">
        <x:v>AÑADIR</x:v>
      </x:c>
      <x:c r="C3" s="26" t="str">
        <x:v>Automatización y Control de Procesos Agroindustriales</x:v>
      </x:c>
      <x:c r="D3" s="26" t="str">
        <x:v>F0905; F0906</x:v>
      </x:c>
      <x:c r="E3" s="26" t="str">
        <x:v>2–3 créditos indicativos</x:v>
      </x:c>
      <x:c r="F3" s="26" t="str">
        <x:v>Alta</x:v>
      </x:c>
      <x:c r="G3" s="26" t="str">
        <x:v>Automatización/control aparece en 31% del Core; digitalización/Industria 4.0 es emergente y el perfil ajustado exige herramientas digitales.</x:v>
      </x:c>
      <x:c r="H3" s="26" t="str">
        <x:v>Articular con Programación, Simulación y Diseño de Plantas; evitar duplicación de software.</x:v>
      </x:c>
      <x:c r="I3" s="26" t="str">
        <x:v>Si existe contenido no visible en PEA actuales, integrar en lugar de añadir.</x:v>
      </x:c>
    </x:row>
    <x:row r="4">
      <x:c r="A4" s="26" t="str">
        <x:v>C03</x:v>
      </x:c>
      <x:c r="B4" s="26" t="str">
        <x:v>AÑADIR</x:v>
      </x:c>
      <x:c r="C4" s="26" t="str">
        <x:v>Innovación y Desarrollo de Productos Agroindustriales</x:v>
      </x:c>
      <x:c r="D4" s="26" t="str">
        <x:v>F1401; F1403</x:v>
      </x:c>
      <x:c r="E4" s="26" t="str">
        <x:v>2–3 créditos indicativos</x:v>
      </x:c>
      <x:c r="F4" s="26" t="str">
        <x:v>Muy alta</x:v>
      </x:c>
      <x:c r="G4" s="26" t="str">
        <x:v>Innovación de producto es emergente en grado y 48% de graduados la prioriza; PP2/PP3/CPIA3/CPIA4 la hacen explícita.</x:v>
      </x:c>
      <x:c r="H4" s="26" t="str">
        <x:v>Proyecto de desarrollo de producto con mercado, proceso, sostenibilidad y validación experimental.</x:v>
      </x:c>
      <x:c r="I4" s="26" t="str">
        <x:v>Puede financiarse mediante integración de asignaturas redundantes tras auditoría de contenidos.</x:v>
      </x:c>
    </x:row>
    <x:row r="5">
      <x:c r="A5" s="26" t="str">
        <x:v>C04</x:v>
      </x:c>
      <x:c r="B5" s="26" t="str">
        <x:v>INTEGRAR</x:v>
      </x:c>
      <x:c r="C5" s="26" t="str">
        <x:v>Analítica de Datos, IA y Optimización aplicada</x:v>
      </x:c>
      <x:c r="D5" s="26" t="str">
        <x:v>F0108; F0510; F0906</x:v>
      </x:c>
      <x:c r="E5" s="26" t="str">
        <x:v>Sin aumento obligatorio de créditos</x:v>
      </x:c>
      <x:c r="F5" s="26" t="str">
        <x:v>Crítica</x:v>
      </x:c>
      <x:c r="G5" s="26" t="str">
        <x:v>93% de graduados valora datos/ML/IA; F0108 aparece sobre todo en referentes avanzados y el perfil 2026 exige análisis/procesamiento de datos.</x:v>
      </x:c>
      <x:c r="H5" s="26" t="str">
        <x:v>Secuencia: Estadística → Programación → Simulación → proyectos/laboratorios con datos reales.</x:v>
      </x:c>
      <x:c r="I5" s="26" t="str">
        <x:v>Si la cobertura resultante es insuficiente, considerar módulo avanzado de 2 créditos.</x:v>
      </x:c>
    </x:row>
    <x:row r="6">
      <x:c r="A6" s="26" t="str">
        <x:v>C05</x:v>
      </x:c>
      <x:c r="B6" s="26" t="str">
        <x:v>INTEGRAR</x:v>
      </x:c>
      <x:c r="C6" s="26" t="str">
        <x:v>Sostenibilidad, ACV, circularidad y valorización</x:v>
      </x:c>
      <x:c r="D6" s="26" t="str">
        <x:v>F1102; F1103; F1105; F1106</x:v>
      </x:c>
      <x:c r="E6" s="26" t="str">
        <x:v>Eje transversal + posible módulo</x:v>
      </x:c>
      <x:c r="F6" s="26" t="str">
        <x:v>Crítica</x:v>
      </x:c>
      <x:c r="G6" s="26" t="str">
        <x:v>65% prioriza circularidad/renovables; empleadores muestran brecha crítica; el perfil ajustado menciona circularidad, energía y sostenibilidad.</x:v>
      </x:c>
      <x:c r="H6" s="26" t="str">
        <x:v>Articular IAQD722 + AGRD810 + diseño de plantas + productos/procesos + proyectos.</x:v>
      </x:c>
      <x:c r="I6" s="26" t="str">
        <x:v>AGRD810 es hoy requisito externo; evaluar su incorporación explícita al núcleo.</x:v>
      </x:c>
    </x:row>
    <x:row r="7">
      <x:c r="A7" s="26" t="str">
        <x:v>C06</x:v>
      </x:c>
      <x:c r="B7" s="26" t="str">
        <x:v>RECONSIDERAR/ELIMINAR</x:v>
      </x:c>
      <x:c r="C7" s="26" t="str">
        <x:v>Polímeros en la Agroindustria → Envases, Biomateriales y Packaging Sostenible</x:v>
      </x:c>
      <x:c r="D7" s="26" t="str">
        <x:v>F0907; F1102; F1105</x:v>
      </x:c>
      <x:c r="E7" s="26" t="str">
        <x:v>Mantener ~3 créditos</x:v>
      </x:c>
      <x:c r="F7" s="26" t="str">
        <x:v>Alta</x:v>
      </x:c>
      <x:c r="G7" s="26" t="str">
        <x:v>La asignatura actual es difícil de mapear sin contenidos; packaging es más comparable internacionalmente y la circularidad es estratégica.</x:v>
      </x:c>
      <x:c r="H7" s="26" t="str">
        <x:v>No eliminar polímeros útiles: reorientar hacia selección de materiales, envases, biopolímeros, reciclabilidad y ecodiseño.</x:v>
      </x:c>
      <x:c r="I7" s="26" t="str">
        <x:v>Decisión final requiere PEA de AGRD743.</x:v>
      </x:c>
    </x:row>
    <x:row r="8">
      <x:c r="A8" s="26" t="str">
        <x:v>C07</x:v>
      </x:c>
      <x:c r="B8" s="26" t="str">
        <x:v>RECONSIDERAR/ELIMINAR</x:v>
      </x:c>
      <x:c r="C8" s="26" t="str">
        <x:v>Secuencias Introducción/Producción Vegetal y Animal</x:v>
      </x:c>
      <x:c r="D8" s="26" t="str">
        <x:v>F1001; F1002</x:v>
      </x:c>
      <x:c r="E8" s="26" t="str">
        <x:v>Auditar 12 créditos actuales antes de modificar</x:v>
      </x:c>
      <x:c r="F8" s="26" t="str">
        <x:v>Media</x:v>
      </x:c>
      <x:c r="G8" s="26" t="str">
        <x:v>Las familias son consolidadas internacionalmente y relevantes para Agroindustria, pero existen pares Introducción + Producción y graduados reportan materias redundantes.</x:v>
      </x:c>
      <x:c r="H8" s="26" t="str">
        <x:v>Revisar solapamiento; si lo hay, consolidar contenidos y liberar espacio para digitalización/inocuidad/innovación.</x:v>
      </x:c>
      <x:c r="I8" s="26" t="str">
        <x:v>No eliminar las competencias de materias primas/cadena primaria.</x:v>
      </x:c>
    </x:row>
    <x:row r="9">
      <x:c r="A9" s="26" t="str">
        <x:v>C08</x:v>
      </x:c>
      <x:c r="B9" s="26" t="str">
        <x:v>INTEGRAR</x:v>
      </x:c>
      <x:c r="C9" s="26" t="str">
        <x:v>Gestión de proyectos, emprendimiento, marketing y finanzas</x:v>
      </x:c>
      <x:c r="D9" s="26" t="str">
        <x:v>F1203; F1204; F1207; F1208</x:v>
      </x:c>
      <x:c r="E9" s="26" t="str">
        <x:v>Reorganizar carga existente</x:v>
      </x:c>
      <x:c r="F9" s="26" t="str">
        <x:v>Alta</x:v>
      </x:c>
      <x:c r="G9" s="26" t="str">
        <x:v>PP5 exige gestión integral; empleadores piden gestión/marketing; ADMD700/ADMD800 son requisitos y existen cursos de finanzas/agrocomercio.</x:v>
      </x:c>
      <x:c r="H9" s="26" t="str">
        <x:v>Construir una secuencia coherente de negocio/proyecto en lugar de componentes aislados de 1 crédito.</x:v>
      </x:c>
      <x:c r="I9" s="26" t="str">
        <x:v>Revisar restricciones institucionales de asignaturas generales.</x:v>
      </x:c>
    </x:row>
    <x:row r="10">
      <x:c r="A10" s="26" t="str">
        <x:v>C09</x:v>
      </x:c>
      <x:c r="B10" s="26" t="str">
        <x:v>REFORZAR</x:v>
      </x:c>
      <x:c r="C10" s="26" t="str">
        <x:v>Prácticas, proyectos reales y laboratorios integradores</x:v>
      </x:c>
      <x:c r="D10" s="26" t="str">
        <x:v>F1505; F1507</x:v>
      </x:c>
      <x:c r="E10" s="26" t="str">
        <x:v>Priorizar intensidad/calidad más que créditos</x:v>
      </x:c>
      <x:c r="F10" s="26" t="str">
        <x:v>Muy alta</x:v>
      </x:c>
      <x:c r="G10" s="26" t="str">
        <x:v>62% del Core tiene práctica externa; graduados señalan demasiada teoría y pocos laboratorios; empleadores piden mayor relación universidad–empresa.</x:v>
      </x:c>
      <x:c r="H10" s="26" t="str">
        <x:v>Pasantías más largas, briefs industriales, visitas técnicas y proyectos de laboratorio con productos/procesos reales.</x:v>
      </x:c>
      <x:c r="I10" s="26" t="str">
        <x:v>La planificación 2026 confirma 19 laboratorios; el problema es integración/alcance, no ausencia absoluta.</x:v>
      </x:c>
    </x:row>
    <x:row r="11">
      <x:c r="A11" s="26" t="str">
        <x:v>C10</x:v>
      </x:c>
      <x:c r="B11" s="26" t="str">
        <x:v>INTEGRAR</x:v>
      </x:c>
      <x:c r="C11" s="26" t="str">
        <x:v>Inglés técnico, comunicación y liderazgo</x:v>
      </x:c>
      <x:c r="D11" s="26" t="str">
        <x:v>F1601; F1602; F1603</x:v>
      </x:c>
      <x:c r="E11" s="26" t="str">
        <x:v>Transversal</x:v>
      </x:c>
      <x:c r="F11" s="26" t="str">
        <x:v>Muy alta</x:v>
      </x:c>
      <x:c r="G11" s="26" t="str">
        <x:v>86% valora inglés; comunicación y liderazgo encabezan habilidades blandas; PP6 exige español e inglés.</x:v>
      </x:c>
      <x:c r="H11" s="26" t="str">
        <x:v>Informes, presentaciones, lectura técnica y defensa de proyectos en varios niveles; no depender solo del requisito B1.</x:v>
      </x:c>
      <x:c r="I11" s="26" t="str">
        <x:v>Coordinar con competencias transversales institucionales.</x:v>
      </x:c>
    </x:row>
  </x:sheetData>
  <x:conditionalFormatting sqref="B2:B11">
    <x:cfRule type="expression" dxfId="7" priority="1">
      <x:formula>B2="AÑADIR"</x:formula>
    </x:cfRule>
    <x:cfRule type="expression" dxfId="8" priority="2">
      <x:formula>B2="RECONSIDERAR/ELIMINAR"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82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</x:cols>
  <x:sheetData>
    <x:row r="1">
      <x:c r="A1" s="14" t="str">
        <x:v>Vigencia</x:v>
      </x:c>
      <x:c r="B1" s="14" t="str">
        <x:v>Categoria</x:v>
      </x:c>
      <x:c r="C1" s="14" t="str">
        <x:v>Codigo</x:v>
      </x:c>
      <x:c r="D1" s="14" t="str">
        <x:v>Texto_resumen_fiel</x:v>
      </x:c>
      <x:c r="E1" s="14" t="str">
        <x:v>Fuente</x:v>
      </x:c>
      <x:c r="F1" s="14" t="str">
        <x:v>Es_declarado</x:v>
      </x:c>
      <x:c r="G1" s="14" t="str">
        <x:v>Mapeo_familias</x:v>
      </x:c>
      <x:c r="H1" s="14" t="str">
        <x:v>Mapeo_es_derivado</x:v>
      </x:c>
      <x:c r="I1" s="14" t="str">
        <x:v>Observacion</x:v>
      </x:c>
    </x:row>
    <x:row r="2">
      <x:c r="A2" s="37" t="str">
        <x:v>OFERTA VIGENTE</x:v>
      </x:c>
      <x:c r="B2" s="26" t="str">
        <x:v>Objetivo de la carrera</x:v>
      </x:c>
      <x:c r="C2" s="26" t="str">
        <x:v>OBJ_CUR</x:v>
      </x:c>
      <x:c r="D2" s="26" t="str">
        <x:v>Formar profesionales capaces de aplicar principios de ingeniería para resolver problemas complejos de diseño agroindustrial con criterios de calidad, seguridad, economía, uso eficiente de recursos, ambiente y ética, contribuyendo al desarrollo del sistema productivo agroindustrial.</x:v>
      </x:c>
      <x:c r="E2" s="26" t="str">
        <x:v>EPN_AGRO_F001</x:v>
      </x:c>
      <x:c r="F2" s="26" t="str">
        <x:v>Sí</x:v>
      </x:c>
      <x:c r="G2" s="26" t="str"/>
      <x:c r="H2" s="26" t="str">
        <x:v>Sí</x:v>
      </x:c>
      <x:c r="I2" s="26" t="str">
        <x:v>El texto es documental; el enlace a familias es análisis posterior y no curriculum mapping institucional.</x:v>
      </x:c>
    </x:row>
    <x:row r="3">
      <x:c r="A3" s="37" t="str">
        <x:v>OFERTA VIGENTE</x:v>
      </x:c>
      <x:c r="B3" s="26" t="str">
        <x:v>Perfil/capacidad vigente</x:v>
      </x:c>
      <x:c r="C3" s="26" t="str">
        <x:v>RE1</x:v>
      </x:c>
      <x:c r="D3" s="26" t="str">
        <x:v>Diseñar productos y procesos que utilicen materias primas agropecuarias para responder a necesidades del país de manera eficiente y ambientalmente sustentable.</x:v>
      </x:c>
      <x:c r="E3" s="26" t="str">
        <x:v>EPN_AGRO_F001</x:v>
      </x:c>
      <x:c r="F3" s="26" t="str">
        <x:v>Sí</x:v>
      </x:c>
      <x:c r="G3" s="26" t="str"/>
      <x:c r="H3" s="26" t="str">
        <x:v>Sí</x:v>
      </x:c>
      <x:c r="I3" s="26" t="str">
        <x:v>El texto es documental; el enlace a familias es análisis posterior y no curriculum mapping institucional.</x:v>
      </x:c>
    </x:row>
    <x:row r="4">
      <x:c r="A4" s="37" t="str">
        <x:v>OFERTA VIGENTE</x:v>
      </x:c>
      <x:c r="B4" s="26" t="str">
        <x:v>Perfil/capacidad vigente</x:v>
      </x:c>
      <x:c r="C4" s="26" t="str">
        <x:v>RE2</x:v>
      </x:c>
      <x:c r="D4" s="26" t="str">
        <x:v>Diseñar/liderar experimentos para la obtención y el análisis de datos en el ejercicio de la Ingeniería Agroindustrial.</x:v>
      </x:c>
      <x:c r="E4" s="26" t="str">
        <x:v>EPN_AGRO_F001</x:v>
      </x:c>
      <x:c r="F4" s="26" t="str">
        <x:v>Sí</x:v>
      </x:c>
      <x:c r="G4" s="26" t="str"/>
      <x:c r="H4" s="26" t="str">
        <x:v>Sí</x:v>
      </x:c>
      <x:c r="I4" s="26" t="str">
        <x:v>El texto es documental; el enlace a familias es análisis posterior y no curriculum mapping institucional.</x:v>
      </x:c>
    </x:row>
    <x:row r="5">
      <x:c r="A5" s="37" t="str">
        <x:v>OFERTA VIGENTE</x:v>
      </x:c>
      <x:c r="B5" s="26" t="str">
        <x:v>Perfil/capacidad vigente</x:v>
      </x:c>
      <x:c r="C5" s="26" t="str">
        <x:v>RE3</x:v>
      </x:c>
      <x:c r="D5" s="26" t="str">
        <x:v>Aplicar principios de Ingeniería Agroindustrial desde el análisis de materias primas al diseño de procesos mediante balances de masa y energía, fenómenos de transporte y operaciones unitarias.</x:v>
      </x:c>
      <x:c r="E5" s="26" t="str">
        <x:v>EPN_AGRO_F001</x:v>
      </x:c>
      <x:c r="F5" s="26" t="str">
        <x:v>Sí</x:v>
      </x:c>
      <x:c r="G5" s="26" t="str"/>
      <x:c r="H5" s="26" t="str">
        <x:v>Sí</x:v>
      </x:c>
      <x:c r="I5" s="26" t="str">
        <x:v>El texto es documental; el enlace a familias es análisis posterior y no curriculum mapping institucional.</x:v>
      </x:c>
    </x:row>
    <x:row r="6">
      <x:c r="A6" s="37" t="str">
        <x:v>OFERTA VIGENTE</x:v>
      </x:c>
      <x:c r="B6" s="26" t="str">
        <x:v>Perfil/capacidad vigente</x:v>
      </x:c>
      <x:c r="C6" s="26" t="str">
        <x:v>RE4</x:v>
      </x:c>
      <x:c r="D6" s="26" t="str">
        <x:v>Identificar, formular y resolver problemas asociados al ejercicio de la Ingeniería Agroindustrial con criterio lógico.</x:v>
      </x:c>
      <x:c r="E6" s="26" t="str">
        <x:v>EPN_AGRO_F001</x:v>
      </x:c>
      <x:c r="F6" s="26" t="str">
        <x:v>Sí</x:v>
      </x:c>
      <x:c r="G6" s="26" t="str"/>
      <x:c r="H6" s="26" t="str">
        <x:v>Sí</x:v>
      </x:c>
      <x:c r="I6" s="26" t="str">
        <x:v>El texto es documental; el enlace a familias es análisis posterior y no curriculum mapping institucional.</x:v>
      </x:c>
    </x:row>
    <x:row r="7">
      <x:c r="A7" s="37" t="str">
        <x:v>OFERTA VIGENTE</x:v>
      </x:c>
      <x:c r="B7" s="26" t="str">
        <x:v>Perfil/capacidad vigente</x:v>
      </x:c>
      <x:c r="C7" s="26" t="str">
        <x:v>RG2</x:v>
      </x:c>
      <x:c r="D7" s="26" t="str">
        <x:v>Dominar temas contemporáneos y relevantes asociados a la práctica de la Ingeniería Agroindustrial.</x:v>
      </x:c>
      <x:c r="E7" s="26" t="str">
        <x:v>EPN_AGRO_F001</x:v>
      </x:c>
      <x:c r="F7" s="26" t="str">
        <x:v>Sí</x:v>
      </x:c>
      <x:c r="G7" s="26" t="str"/>
      <x:c r="H7" s="26" t="str">
        <x:v>Sí</x:v>
      </x:c>
      <x:c r="I7" s="26" t="str">
        <x:v>El texto es documental; el enlace a familias es análisis posterior y no curriculum mapping institucional.</x:v>
      </x:c>
    </x:row>
    <x:row r="8">
      <x:c r="A8" s="37" t="str">
        <x:v>OFERTA VIGENTE</x:v>
      </x:c>
      <x:c r="B8" s="26" t="str">
        <x:v>Perfil/capacidad vigente</x:v>
      </x:c>
      <x:c r="C8" s="26" t="str">
        <x:v>RG3</x:v>
      </x:c>
      <x:c r="D8" s="26" t="str">
        <x:v>Aplicar conocimientos de ciencias básicas, matemáticas e ingeniería en la práctica de la Ingeniería Agroindustrial.</x:v>
      </x:c>
      <x:c r="E8" s="26" t="str">
        <x:v>EPN_AGRO_F001</x:v>
      </x:c>
      <x:c r="F8" s="26" t="str">
        <x:v>Sí</x:v>
      </x:c>
      <x:c r="G8" s="26" t="str"/>
      <x:c r="H8" s="26" t="str">
        <x:v>Sí</x:v>
      </x:c>
      <x:c r="I8" s="26" t="str">
        <x:v>El texto es documental; el enlace a familias es análisis posterior y no curriculum mapping institucional.</x:v>
      </x:c>
    </x:row>
    <x:row r="9">
      <x:c r="A9" s="37" t="str">
        <x:v>OFERTA VIGENTE</x:v>
      </x:c>
      <x:c r="B9" s="26" t="str">
        <x:v>Perfil/capacidad vigente</x:v>
      </x:c>
      <x:c r="C9" s="26" t="str">
        <x:v>RG4</x:v>
      </x:c>
      <x:c r="D9" s="26" t="str">
        <x:v>Integrarse y trabajar en equipos multidisciplinarios.</x:v>
      </x:c>
      <x:c r="E9" s="26" t="str">
        <x:v>EPN_AGRO_F001</x:v>
      </x:c>
      <x:c r="F9" s="26" t="str">
        <x:v>Sí</x:v>
      </x:c>
      <x:c r="G9" s="26" t="str"/>
      <x:c r="H9" s="26" t="str">
        <x:v>Sí</x:v>
      </x:c>
      <x:c r="I9" s="26" t="str">
        <x:v>El texto es documental; el enlace a familias es análisis posterior y no curriculum mapping institucional.</x:v>
      </x:c>
    </x:row>
    <x:row r="10">
      <x:c r="A10" s="37" t="str">
        <x:v>OFERTA VIGENTE</x:v>
      </x:c>
      <x:c r="B10" s="26" t="str">
        <x:v>Perfil/capacidad vigente</x:v>
      </x:c>
      <x:c r="C10" s="26" t="str">
        <x:v>RG5</x:v>
      </x:c>
      <x:c r="D10" s="26" t="str">
        <x:v>Comunicarse efectivamente de forma oral y escrita.</x:v>
      </x:c>
      <x:c r="E10" s="26" t="str">
        <x:v>EPN_AGRO_F001</x:v>
      </x:c>
      <x:c r="F10" s="26" t="str">
        <x:v>Sí</x:v>
      </x:c>
      <x:c r="G10" s="26" t="str"/>
      <x:c r="H10" s="26" t="str">
        <x:v>Sí</x:v>
      </x:c>
      <x:c r="I10" s="26" t="str">
        <x:v>El texto es documental; el enlace a familias es análisis posterior y no curriculum mapping institucional.</x:v>
      </x:c>
    </x:row>
    <x:row r="11">
      <x:c r="A11" s="37" t="str">
        <x:v>OFERTA VIGENTE</x:v>
      </x:c>
      <x:c r="B11" s="26" t="str">
        <x:v>Perfil/capacidad vigente</x:v>
      </x:c>
      <x:c r="C11" s="26" t="str">
        <x:v>RG6</x:v>
      </x:c>
      <x:c r="D11" s="26" t="str">
        <x:v>Entender el impacto de las soluciones de ingeniería en el contexto global, social y ambiental.</x:v>
      </x:c>
      <x:c r="E11" s="26" t="str">
        <x:v>EPN_AGRO_F001</x:v>
      </x:c>
      <x:c r="F11" s="26" t="str">
        <x:v>Sí</x:v>
      </x:c>
      <x:c r="G11" s="26" t="str"/>
      <x:c r="H11" s="26" t="str">
        <x:v>Sí</x:v>
      </x:c>
      <x:c r="I11" s="26" t="str">
        <x:v>El texto es documental; el enlace a familias es análisis posterior y no curriculum mapping institucional.</x:v>
      </x:c>
    </x:row>
    <x:row r="12">
      <x:c r="A12" s="37" t="str">
        <x:v>OFERTA VIGENTE</x:v>
      </x:c>
      <x:c r="B12" s="26" t="str">
        <x:v>Perfil/capacidad vigente</x:v>
      </x:c>
      <x:c r="C12" s="26" t="str">
        <x:v>RG7</x:v>
      </x:c>
      <x:c r="D12" s="26" t="str">
        <x:v>Aprender de forma autónoma y actualizar permanentemente conocimientos.</x:v>
      </x:c>
      <x:c r="E12" s="26" t="str">
        <x:v>EPN_AGRO_F001</x:v>
      </x:c>
      <x:c r="F12" s="26" t="str">
        <x:v>Sí</x:v>
      </x:c>
      <x:c r="G12" s="26" t="str"/>
      <x:c r="H12" s="26" t="str">
        <x:v>Sí</x:v>
      </x:c>
      <x:c r="I12" s="26" t="str">
        <x:v>El texto es documental; el enlace a familias es análisis posterior y no curriculum mapping institucional.</x:v>
      </x:c>
    </x:row>
    <x:row r="13">
      <x:c r="A13" s="37" t="str">
        <x:v>OFERTA VIGENTE</x:v>
      </x:c>
      <x:c r="B13" s="26" t="str">
        <x:v>Perfil/capacidad vigente</x:v>
      </x:c>
      <x:c r="C13" s="26" t="str">
        <x:v>RG8</x:v>
      </x:c>
      <x:c r="D13" s="26" t="str">
        <x:v>Emplear métodos y herramientas de ingeniería necesarios en la práctica profesional.</x:v>
      </x:c>
      <x:c r="E13" s="26" t="str">
        <x:v>EPN_AGRO_F001</x:v>
      </x:c>
      <x:c r="F13" s="26" t="str">
        <x:v>Sí</x:v>
      </x:c>
      <x:c r="G13" s="26" t="str"/>
      <x:c r="H13" s="26" t="str">
        <x:v>Sí</x:v>
      </x:c>
      <x:c r="I13" s="26" t="str">
        <x:v>El texto es documental; el enlace a familias es análisis posterior y no curriculum mapping institucional.</x:v>
      </x:c>
    </x:row>
    <x:row r="14">
      <x:c r="A14" s="37" t="str">
        <x:v>OFERTA VIGENTE</x:v>
      </x:c>
      <x:c r="B14" s="26" t="str">
        <x:v>Campo ocupacional</x:v>
      </x:c>
      <x:c r="C14" s="26" t="str">
        <x:v>CO_CUR</x:v>
      </x:c>
      <x:c r="D14" s="26" t="str">
        <x:v>Aplicar principios de ingeniería para diseñar, optimizar, innovar o administrar procesos agroindustriales, incluyendo funciones de calidad, planta, producción y gerencia técnica.</x:v>
      </x:c>
      <x:c r="E14" s="26" t="str">
        <x:v>EPN_AGRO_F001</x:v>
      </x:c>
      <x:c r="F14" s="26" t="str">
        <x:v>Sí</x:v>
      </x:c>
      <x:c r="G14" s="26" t="str"/>
      <x:c r="H14" s="26" t="str">
        <x:v>Sí</x:v>
      </x:c>
      <x:c r="I14" s="26" t="str">
        <x:v>El texto es documental; el enlace a familias es análisis posterior y no curriculum mapping institucional.</x:v>
      </x:c>
    </x:row>
    <x:row r="15">
      <x:c r="A15" s="41" t="str">
        <x:v>PROPUESTA AJUSTE 2026</x:v>
      </x:c>
      <x:c r="B15" s="26" t="str">
        <x:v>Perfil profesional propuesto</x:v>
      </x:c>
      <x:c r="C15" s="26" t="str">
        <x:v>PP1</x:v>
      </x:c>
      <x:c r="D15" s="26" t="str">
        <x:v>Aplica principios de ingeniería en el análisis, modelación y resolución de problemas de procesos y productos agroindustriales, considerando el contexto productivo, tecnológico y las cadenas del sector.</x:v>
      </x:c>
      <x:c r="E15" s="26" t="str">
        <x:v>EPN_AGRO_F008</x:v>
      </x:c>
      <x:c r="F15" s="26" t="str">
        <x:v>Sí</x:v>
      </x:c>
      <x:c r="G15" s="26" t="str">
        <x:v>F0401; F0510; F0403; F0501; F0502; F1001; F0402; F0604; F0404; F1002; F1004; F0901</x:v>
      </x:c>
      <x:c r="H15" s="26" t="str">
        <x:v>Sí</x:v>
      </x:c>
      <x:c r="I15" s="26" t="str">
        <x:v>Propuesta de Fase 2; no presentar como perfil aprobado de la oferta vigente.</x:v>
      </x:c>
    </x:row>
    <x:row r="16">
      <x:c r="A16" s="41" t="str">
        <x:v>PROPUESTA AJUSTE 2026</x:v>
      </x:c>
      <x:c r="B16" s="26" t="str">
        <x:v>Perfil profesional propuesto</x:v>
      </x:c>
      <x:c r="C16" s="26" t="str">
        <x:v>PP2</x:v>
      </x:c>
      <x:c r="D16" s="26" t="str">
        <x:v>Diseña, optimiza e innova procesos, productos y sistemas agroindustriales orientados a generar valor agregado con sostenibilidad, calidad, eficiencia y cumplimiento normativo.</x:v>
      </x:c>
      <x:c r="E16" s="26" t="str">
        <x:v>EPN_AGRO_F008</x:v>
      </x:c>
      <x:c r="F16" s="26" t="str">
        <x:v>Sí</x:v>
      </x:c>
      <x:c r="G16" s="26" t="str">
        <x:v>F0510; F0502; F0604; F0901; F0605; F0803; F0804; F0906; F1102; F1105; F1401</x:v>
      </x:c>
      <x:c r="H16" s="26" t="str">
        <x:v>Sí</x:v>
      </x:c>
      <x:c r="I16" s="26" t="str">
        <x:v>Propuesta de Fase 2; no presentar como perfil aprobado de la oferta vigente.</x:v>
      </x:c>
    </x:row>
    <x:row r="17">
      <x:c r="A17" s="41" t="str">
        <x:v>PROPUESTA AJUSTE 2026</x:v>
      </x:c>
      <x:c r="B17" s="26" t="str">
        <x:v>Perfil profesional propuesto</x:v>
      </x:c>
      <x:c r="C17" s="26" t="str">
        <x:v>PP3</x:v>
      </x:c>
      <x:c r="D17" s="26" t="str">
        <x:v>Desarrolla soluciones tecnológicas para el sector agroindustrial mediante investigación aplicada, innovación y transferencia tecnológica hacia las cadenas de valor.</x:v>
      </x:c>
      <x:c r="E17" s="26" t="str">
        <x:v>EPN_AGRO_F008</x:v>
      </x:c>
      <x:c r="F17" s="26" t="str">
        <x:v>Sí</x:v>
      </x:c>
      <x:c r="G17" s="26" t="str">
        <x:v>F0510; F1401; F1404; F0306; F0108; F1103; F1403; F0305</x:v>
      </x:c>
      <x:c r="H17" s="26" t="str">
        <x:v>Sí</x:v>
      </x:c>
      <x:c r="I17" s="26" t="str">
        <x:v>Propuesta de Fase 2; no presentar como perfil aprobado de la oferta vigente.</x:v>
      </x:c>
    </x:row>
    <x:row r="18">
      <x:c r="A18" s="41" t="str">
        <x:v>PROPUESTA AJUSTE 2026</x:v>
      </x:c>
      <x:c r="B18" s="26" t="str">
        <x:v>Perfil profesional propuesto</x:v>
      </x:c>
      <x:c r="C18" s="26" t="str">
        <x:v>PP4</x:v>
      </x:c>
      <x:c r="D18" s="26" t="str">
        <x:v>Implementa y controla procesos de la cadena agroindustrial mediante equipos, tecnologías y herramientas digitales bajo estándares de calidad, seguridad y sostenibilidad.</x:v>
      </x:c>
      <x:c r="E18" s="26" t="str">
        <x:v>EPN_AGRO_F008</x:v>
      </x:c>
      <x:c r="F18" s="26" t="str">
        <x:v>Sí</x:v>
      </x:c>
      <x:c r="G18" s="26" t="str">
        <x:v>F0510; F0502; F0901; F0803; F0804; F0906; F1105; F0905</x:v>
      </x:c>
      <x:c r="H18" s="26" t="str">
        <x:v>Sí</x:v>
      </x:c>
      <x:c r="I18" s="26" t="str">
        <x:v>Propuesta de Fase 2; no presentar como perfil aprobado de la oferta vigente.</x:v>
      </x:c>
    </x:row>
    <x:row r="19">
      <x:c r="A19" s="41" t="str">
        <x:v>PROPUESTA AJUSTE 2026</x:v>
      </x:c>
      <x:c r="B19" s="26" t="str">
        <x:v>Perfil profesional propuesto</x:v>
      </x:c>
      <x:c r="C19" s="26" t="str">
        <x:v>PP5</x:v>
      </x:c>
      <x:c r="D19" s="26" t="str">
        <x:v>Gestiona proyectos agroindustriales desde formulación hasta evaluación integrando recursos técnicos, humanos, financieros y ambientales con ética, sostenibilidad, impacto social y viabilidad económica.</x:v>
      </x:c>
      <x:c r="E19" s="26" t="str">
        <x:v>EPN_AGRO_F008</x:v>
      </x:c>
      <x:c r="F19" s="26" t="str">
        <x:v>Sí</x:v>
      </x:c>
      <x:c r="G19" s="26" t="str">
        <x:v>F1105; F1202; F1203; F1208; F1207; F1206</x:v>
      </x:c>
      <x:c r="H19" s="26" t="str">
        <x:v>Sí</x:v>
      </x:c>
      <x:c r="I19" s="26" t="str">
        <x:v>Propuesta de Fase 2; no presentar como perfil aprobado de la oferta vigente.</x:v>
      </x:c>
    </x:row>
    <x:row r="20">
      <x:c r="A20" s="41" t="str">
        <x:v>PROPUESTA AJUSTE 2026</x:v>
      </x:c>
      <x:c r="B20" s="26" t="str">
        <x:v>Perfil profesional propuesto</x:v>
      </x:c>
      <x:c r="C20" s="26" t="str">
        <x:v>PP6</x:v>
      </x:c>
      <x:c r="D20" s="26" t="str">
        <x:v>Comunica información técnica, científica y profesional en español e inglés, oral y escrita, interpretando literatura técnica y sustentando resultados en contextos académicos y productivos.</x:v>
      </x:c>
      <x:c r="E20" s="26" t="str">
        <x:v>EPN_AGRO_F008</x:v>
      </x:c>
      <x:c r="F20" s="26" t="str">
        <x:v>Sí</x:v>
      </x:c>
      <x:c r="G20" s="26" t="str">
        <x:v>F1603; F1601; F1602</x:v>
      </x:c>
      <x:c r="H20" s="26" t="str">
        <x:v>Sí</x:v>
      </x:c>
      <x:c r="I20" s="26" t="str">
        <x:v>Propuesta de Fase 2; no presentar como perfil aprobado de la oferta vigente.</x:v>
      </x:c>
    </x:row>
    <x:row r="21">
      <x:c r="A21" s="41" t="str">
        <x:v>PROPUESTA AJUSTE 2026</x:v>
      </x:c>
      <x:c r="B21" s="26" t="str">
        <x:v>Competencia profesional propuesta</x:v>
      </x:c>
      <x:c r="C21" s="26" t="str">
        <x:v>CPIA1</x:v>
      </x:c>
      <x:c r="D21" s="26" t="str">
        <x:v>Aplicar matemáticas, ciencias básicas, computación y principios de ingeniería agroindustrial para analizar, diseñar e implementar procesos y productos con conciencia del estado del arte, innovación y multidisciplinariedad.</x:v>
      </x:c>
      <x:c r="E21" s="26" t="str">
        <x:v>EPN_AGRO_F008</x:v>
      </x:c>
      <x:c r="F21" s="26" t="str">
        <x:v>Sí</x:v>
      </x:c>
      <x:c r="G21" s="26" t="str">
        <x:v>F0401; F0403; F0501; F0502; F0402; F0404; F0108; F0103; F0101; F0102; F0201; F0107; F0203; F0106; F0202; F0104</x:v>
      </x:c>
      <x:c r="H21" s="26" t="str">
        <x:v>Sí</x:v>
      </x:c>
      <x:c r="I21" s="26" t="str">
        <x:v>Propuesta de Fase 2; no presentar como perfil aprobado de la oferta vigente.</x:v>
      </x:c>
    </x:row>
    <x:row r="22">
      <x:c r="A22" s="41" t="str">
        <x:v>PROPUESTA AJUSTE 2026</x:v>
      </x:c>
      <x:c r="B22" s="26" t="str">
        <x:v>Competencia profesional propuesta</x:v>
      </x:c>
      <x:c r="C22" s="26" t="str">
        <x:v>CPIA2</x:v>
      </x:c>
      <x:c r="D22" s="26" t="str">
        <x:v>Identificar, formular y resolver problemas complejos de transformación y aprovechamiento de biorecursos mediante modelación, análisis de datos y métodos analíticos, computacionales y experimentales, incorporando sostenibilidad, inocuidad, calidad, seguridad y viabilidad económica.</x:v>
      </x:c>
      <x:c r="E22" s="26" t="str">
        <x:v>EPN_AGRO_F008</x:v>
      </x:c>
      <x:c r="F22" s="26" t="str">
        <x:v>Sí</x:v>
      </x:c>
      <x:c r="G22" s="26" t="str">
        <x:v>F0401; F0510; F0403; F0501; F0502; F0402; F0404; F0803; F0804; F1105; F0108; F1203; F0104; F0105</x:v>
      </x:c>
      <x:c r="H22" s="26" t="str">
        <x:v>Sí</x:v>
      </x:c>
      <x:c r="I22" s="26" t="str">
        <x:v>Propuesta de Fase 2; no presentar como perfil aprobado de la oferta vigente.</x:v>
      </x:c>
    </x:row>
    <x:row r="23">
      <x:c r="A23" s="41" t="str">
        <x:v>PROPUESTA AJUSTE 2026</x:v>
      </x:c>
      <x:c r="B23" s="26" t="str">
        <x:v>Competencia profesional propuesta</x:v>
      </x:c>
      <x:c r="C23" s="26" t="str">
        <x:v>CPIA3</x:v>
      </x:c>
      <x:c r="D23" s="26" t="str">
        <x:v>Diseñar, optimizar e innovar productos, procesos y sistemas que agreguen valor a biorecursos mediante diseño ingenieril y tecnología, considerando sostenibilidad, economía circular, eficiencia energética, inocuidad, calidad, trazabilidad y normativa.</x:v>
      </x:c>
      <x:c r="E23" s="26" t="str">
        <x:v>EPN_AGRO_F008</x:v>
      </x:c>
      <x:c r="F23" s="26" t="str">
        <x:v>Sí</x:v>
      </x:c>
      <x:c r="G23" s="26" t="str">
        <x:v>F0510; F0502; F0604; F0901; F0605; F0803; F0804; F0906; F1102; F1105; F1401; F1103</x:v>
      </x:c>
      <x:c r="H23" s="26" t="str">
        <x:v>Sí</x:v>
      </x:c>
      <x:c r="I23" s="26" t="str">
        <x:v>Propuesta de Fase 2; no presentar como perfil aprobado de la oferta vigente.</x:v>
      </x:c>
    </x:row>
    <x:row r="24">
      <x:c r="A24" s="41" t="str">
        <x:v>PROPUESTA AJUSTE 2026</x:v>
      </x:c>
      <x:c r="B24" s="26" t="str">
        <x:v>Competencia profesional propuesta</x:v>
      </x:c>
      <x:c r="C24" s="26" t="str">
        <x:v>CPIA4</x:v>
      </x:c>
      <x:c r="D24" s="26" t="str">
        <x:v>Generar soluciones tecnológicas mediante investigación aplicada, trabajo experimental, simulación y procesamiento de datos, integrando innovación, sostenibilidad, inocuidad, calidad, seguridad y transferencia tecnológica.</x:v>
      </x:c>
      <x:c r="E24" s="26" t="str">
        <x:v>EPN_AGRO_F008</x:v>
      </x:c>
      <x:c r="F24" s="26" t="str">
        <x:v>Sí</x:v>
      </x:c>
      <x:c r="G24" s="26" t="str">
        <x:v>F0510; F0906; F1105; F1401; F1404; F0306; F0108; F1103; F1403; F0305; F0105</x:v>
      </x:c>
      <x:c r="H24" s="26" t="str">
        <x:v>Sí</x:v>
      </x:c>
      <x:c r="I24" s="26" t="str">
        <x:v>Propuesta de Fase 2; no presentar como perfil aprobado de la oferta vigente.</x:v>
      </x:c>
    </x:row>
    <x:row r="25">
      <x:c r="A25" s="41" t="str">
        <x:v>PROPUESTA AJUSTE 2026</x:v>
      </x:c>
      <x:c r="B25" s="26" t="str">
        <x:v>Competencia profesional propuesta</x:v>
      </x:c>
      <x:c r="C25" s="26" t="str">
        <x:v>CPIA5</x:v>
      </x:c>
      <x:c r="D25" s="26" t="str">
        <x:v>Implementar, operar, controlar y optimizar procesos y sistemas agroindustriales usando equipos, tecnologías y herramientas digitales, con eficiencia, calidad, trazabilidad, sostenibilidad, seguridad industrial y gestión económica.</x:v>
      </x:c>
      <x:c r="E25" s="26" t="str">
        <x:v>EPN_AGRO_F008</x:v>
      </x:c>
      <x:c r="F25" s="26" t="str">
        <x:v>Sí</x:v>
      </x:c>
      <x:c r="G25" s="26" t="str">
        <x:v>F0510; F0502; F0901; F0803; F0906; F1105; F0905; F1202; F1203; F1206</x:v>
      </x:c>
      <x:c r="H25" s="26" t="str">
        <x:v>Sí</x:v>
      </x:c>
      <x:c r="I25" s="26" t="str">
        <x:v>Propuesta de Fase 2; no presentar como perfil aprobado de la oferta vigente.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55" hidden="0" customWidth="1"/>
    <x:col min="8" max="8" width="55" hidden="0" customWidth="1"/>
    <x:col min="9" max="9" width="55" hidden="0" customWidth="1"/>
  </x:cols>
  <x:sheetData>
    <x:row r="1">
      <x:c r="A1" s="14" t="str">
        <x:v>ID</x:v>
      </x:c>
      <x:c r="B1" s="14" t="str">
        <x:v>Tema</x:v>
      </x:c>
      <x:c r="C1" s="14" t="str">
        <x:v>Fuente</x:v>
      </x:c>
      <x:c r="D1" s="14" t="str">
        <x:v>Indicador</x:v>
      </x:c>
      <x:c r="E1" s="14" t="str">
        <x:v>Valor</x:v>
      </x:c>
      <x:c r="F1" s="14" t="str">
        <x:v>Prioridad</x:v>
      </x:c>
      <x:c r="G1" s="14" t="str">
        <x:v>Familias_relacionadas</x:v>
      </x:c>
      <x:c r="H1" s="14" t="str">
        <x:v>Implicacion</x:v>
      </x:c>
      <x:c r="I1" s="14" t="str">
        <x:v>Documento</x:v>
      </x:c>
    </x:row>
    <x:row r="2">
      <x:c r="A2" s="26" t="str">
        <x:v>S01</x:v>
      </x:c>
      <x:c r="B2" s="26" t="str">
        <x:v>Datos, programación e IA</x:v>
      </x:c>
      <x:c r="C2" s="26" t="str">
        <x:v>Encuesta graduados</x:v>
      </x:c>
      <x:c r="D2" s="26" t="str">
        <x:v>Importancia niveles 4–5</x:v>
      </x:c>
      <x:c r="E2" s="44" t="n">
        <x:v>0.93</x:v>
      </x:c>
      <x:c r="F2" s="26" t="str">
        <x:v>Muy alta</x:v>
      </x:c>
      <x:c r="G2" s="26" t="str">
        <x:v>F0106; F0108; F0510; F0906</x:v>
      </x:c>
      <x:c r="H2" s="26" t="str">
        <x:v>Actualizar contenidos con datos, programación, ML/IA y herramientas digitales.</x:v>
      </x:c>
      <x:c r="I2" s="26" t="str">
        <x:v>Reporte_Ejecutivo_Ingenieria_Agroindustrial.docx</x:v>
      </x:c>
    </x:row>
    <x:row r="3">
      <x:c r="A3" s="26" t="str">
        <x:v>S02</x:v>
      </x:c>
      <x:c r="B3" s="26" t="str">
        <x:v>Inglés técnico</x:v>
      </x:c>
      <x:c r="C3" s="26" t="str">
        <x:v>Encuesta graduados</x:v>
      </x:c>
      <x:c r="D3" s="26" t="str">
        <x:v>Importancia niveles 4–5</x:v>
      </x:c>
      <x:c r="E3" s="44" t="n">
        <x:v>0.86</x:v>
      </x:c>
      <x:c r="F3" s="26" t="str">
        <x:v>Muy alta</x:v>
      </x:c>
      <x:c r="G3" s="26" t="str">
        <x:v>F1601; F1602</x:v>
      </x:c>
      <x:c r="H3" s="26" t="str">
        <x:v>Integrar inglés técnico en desempeño académico/profesional.</x:v>
      </x:c>
      <x:c r="I3" s="26" t="str">
        <x:v>Reporte_Ejecutivo_Ingenieria_Agroindustrial.docx</x:v>
      </x:c>
    </x:row>
    <x:row r="4">
      <x:c r="A4" s="26" t="str">
        <x:v>S03</x:v>
      </x:c>
      <x:c r="B4" s="26" t="str">
        <x:v>Sostenibilidad y energía</x:v>
      </x:c>
      <x:c r="C4" s="26" t="str">
        <x:v>Encuesta graduados</x:v>
      </x:c>
      <x:c r="D4" s="26" t="str">
        <x:v>Economía circular y energía renovable niveles 4–5</x:v>
      </x:c>
      <x:c r="E4" s="44" t="n">
        <x:v>0.65</x:v>
      </x:c>
      <x:c r="F4" s="26" t="str">
        <x:v>Alta</x:v>
      </x:c>
      <x:c r="G4" s="26" t="str">
        <x:v>F1102; F1103; F1105; F1106</x:v>
      </x:c>
      <x:c r="H4" s="26" t="str">
        <x:v>Reforzar sostenibilidad/circularidad/energía.</x:v>
      </x:c>
      <x:c r="I4" s="26" t="str">
        <x:v>Reporte_Ejecutivo_Ingenieria_Agroindustrial.docx</x:v>
      </x:c>
    </x:row>
    <x:row r="5">
      <x:c r="A5" s="26" t="str">
        <x:v>S04</x:v>
      </x:c>
      <x:c r="B5" s="26" t="str">
        <x:v>Optimización de procesos</x:v>
      </x:c>
      <x:c r="C5" s="26" t="str">
        <x:v>Encuesta graduados</x:v>
      </x:c>
      <x:c r="D5" s="26" t="str">
        <x:v>Competencia técnica priorizada</x:v>
      </x:c>
      <x:c r="E5" s="44" t="n">
        <x:v>0.53</x:v>
      </x:c>
      <x:c r="F5" s="26" t="str">
        <x:v>Alta</x:v>
      </x:c>
      <x:c r="G5" s="26" t="str">
        <x:v>F0502; F0510; F1206</x:v>
      </x:c>
      <x:c r="H5" s="26" t="str">
        <x:v>Reforzar optimización y decisión basada en datos.</x:v>
      </x:c>
      <x:c r="I5" s="26" t="str">
        <x:v>Reporte_Ejecutivo_Ingenieria_Agroindustrial.docx</x:v>
      </x:c>
    </x:row>
    <x:row r="6">
      <x:c r="A6" s="26" t="str">
        <x:v>S05</x:v>
      </x:c>
      <x:c r="B6" s="26" t="str">
        <x:v>Calidad e inocuidad</x:v>
      </x:c>
      <x:c r="C6" s="26" t="str">
        <x:v>Encuesta graduados</x:v>
      </x:c>
      <x:c r="D6" s="26" t="str">
        <x:v>Competencia técnica priorizada</x:v>
      </x:c>
      <x:c r="E6" s="44" t="n">
        <x:v>0.5</x:v>
      </x:c>
      <x:c r="F6" s="26" t="str">
        <x:v>Alta</x:v>
      </x:c>
      <x:c r="G6" s="26" t="str">
        <x:v>F0803; F0804</x:v>
      </x:c>
      <x:c r="H6" s="26" t="str">
        <x:v>Mantener calidad y fortalecer inocuidad/BPM/HACCP.</x:v>
      </x:c>
      <x:c r="I6" s="26" t="str">
        <x:v>Reporte_Ejecutivo_Ingenieria_Agroindustrial.docx</x:v>
      </x:c>
    </x:row>
    <x:row r="7">
      <x:c r="A7" s="26" t="str">
        <x:v>S06</x:v>
      </x:c>
      <x:c r="B7" s="26" t="str">
        <x:v>Innovación de producto</x:v>
      </x:c>
      <x:c r="C7" s="26" t="str">
        <x:v>Encuesta graduados</x:v>
      </x:c>
      <x:c r="D7" s="26" t="str">
        <x:v>Competencia técnica priorizada</x:v>
      </x:c>
      <x:c r="E7" s="44" t="n">
        <x:v>0.48</x:v>
      </x:c>
      <x:c r="F7" s="26" t="str">
        <x:v>Alta</x:v>
      </x:c>
      <x:c r="G7" s="26" t="str">
        <x:v>F1401; F1403</x:v>
      </x:c>
      <x:c r="H7" s="26" t="str">
        <x:v>Fortalecer innovación y desarrollo de nuevos productos.</x:v>
      </x:c>
      <x:c r="I7" s="26" t="str">
        <x:v>Reporte_Ejecutivo_Ingenieria_Agroindustrial.docx</x:v>
      </x:c>
    </x:row>
    <x:row r="8">
      <x:c r="A8" s="26" t="str">
        <x:v>S07</x:v>
      </x:c>
      <x:c r="B8" s="26" t="str">
        <x:v>Práctica</x:v>
      </x:c>
      <x:c r="C8" s="26" t="str">
        <x:v>Encuesta graduados</x:v>
      </x:c>
      <x:c r="D8" s="26" t="str">
        <x:v>Demasiada teoría en desmedro de la práctica</x:v>
      </x:c>
      <x:c r="E8" s="44" t="n">
        <x:v>0.66</x:v>
      </x:c>
      <x:c r="F8" s="26" t="str">
        <x:v>Muy alta</x:v>
      </x:c>
      <x:c r="G8" s="26" t="str">
        <x:v>F1505; F1507</x:v>
      </x:c>
      <x:c r="H8" s="26" t="str">
        <x:v>Aumentar aprendizaje práctico y proyectos reales.</x:v>
      </x:c>
      <x:c r="I8" s="26" t="str">
        <x:v>Reporte_Ejecutivo_Ingenieria_Agroindustrial.docx</x:v>
      </x:c>
    </x:row>
    <x:row r="9">
      <x:c r="A9" s="26" t="str">
        <x:v>S08</x:v>
      </x:c>
      <x:c r="B9" s="26" t="str">
        <x:v>Laboratorios</x:v>
      </x:c>
      <x:c r="C9" s="26" t="str">
        <x:v>Encuesta graduados</x:v>
      </x:c>
      <x:c r="D9" s="26" t="str">
        <x:v>Escasas prácticas de laboratorio</x:v>
      </x:c>
      <x:c r="E9" s="44" t="n">
        <x:v>0.47</x:v>
      </x:c>
      <x:c r="F9" s="26" t="str">
        <x:v>Alta</x:v>
      </x:c>
      <x:c r="G9" s="26" t="str">
        <x:v>F1507</x:v>
      </x:c>
      <x:c r="H9" s="26" t="str">
        <x:v>Reforzar prácticas experimentales pertinentes.</x:v>
      </x:c>
      <x:c r="I9" s="26" t="str">
        <x:v>Reporte_Ejecutivo_Ingenieria_Agroindustrial.docx</x:v>
      </x:c>
    </x:row>
    <x:row r="10">
      <x:c r="A10" s="26" t="str">
        <x:v>S09</x:v>
      </x:c>
      <x:c r="B10" s="26" t="str">
        <x:v>Comunicación</x:v>
      </x:c>
      <x:c r="C10" s="26" t="str">
        <x:v>Encuesta graduados</x:v>
      </x:c>
      <x:c r="D10" s="26" t="str">
        <x:v>Comunicación efectiva priorizada</x:v>
      </x:c>
      <x:c r="E10" s="44" t="n">
        <x:v>0.65</x:v>
      </x:c>
      <x:c r="F10" s="26" t="str">
        <x:v>Muy alta</x:v>
      </x:c>
      <x:c r="G10" s="26" t="str">
        <x:v>F1602; F1603</x:v>
      </x:c>
      <x:c r="H10" s="26" t="str">
        <x:v>Evaluar comunicación en varias etapas del currículo.</x:v>
      </x:c>
      <x:c r="I10" s="26" t="str">
        <x:v>Reporte_Ejecutivo_Ingenieria_Agroindustrial.docx</x:v>
      </x:c>
    </x:row>
    <x:row r="11">
      <x:c r="A11" s="26" t="str">
        <x:v>S10</x:v>
      </x:c>
      <x:c r="B11" s="26" t="str">
        <x:v>Liderazgo</x:v>
      </x:c>
      <x:c r="C11" s="26" t="str">
        <x:v>Encuesta graduados</x:v>
      </x:c>
      <x:c r="D11" s="26" t="str">
        <x:v>Liderazgo priorizado</x:v>
      </x:c>
      <x:c r="E11" s="44" t="n">
        <x:v>0.51</x:v>
      </x:c>
      <x:c r="F11" s="26" t="str">
        <x:v>Alta</x:v>
      </x:c>
      <x:c r="G11" s="26" t="str">
        <x:v>F1603; F1207</x:v>
      </x:c>
      <x:c r="H11" s="26" t="str">
        <x:v>Integrar liderazgo y trabajo en equipo.</x:v>
      </x:c>
      <x:c r="I11" s="26" t="str">
        <x:v>Reporte_Ejecutivo_Ingenieria_Agroindustrial.docx</x:v>
      </x:c>
    </x:row>
    <x:row r="12">
      <x:c r="A12" s="26" t="str">
        <x:v>S11</x:v>
      </x:c>
      <x:c r="B12" s="26" t="str">
        <x:v>Industria</x:v>
      </x:c>
      <x:c r="C12" s="26" t="str">
        <x:v>Comentarios graduados</x:v>
      </x:c>
      <x:c r="D12" s="26" t="str">
        <x:v>Vinculación con la industria</x:v>
      </x:c>
      <x:c r="E12" s="44" t="n">
        <x:v>0.27</x:v>
      </x:c>
      <x:c r="F12" s="26" t="str">
        <x:v>Alta</x:v>
      </x:c>
      <x:c r="G12" s="26" t="str">
        <x:v>F1505; F1507</x:v>
      </x:c>
      <x:c r="H12" s="26" t="str">
        <x:v>Pasantías más largas, visitas y proyectos con empresas.</x:v>
      </x:c>
      <x:c r="I12" s="26" t="str">
        <x:v>Reporte_Ejecutivo_Ingenieria_Agroindustrial.docx</x:v>
      </x:c>
    </x:row>
    <x:row r="13">
      <x:c r="A13" s="26" t="str">
        <x:v>S12</x:v>
      </x:c>
      <x:c r="B13" s="26" t="str">
        <x:v>Innovación y sostenibilidad</x:v>
      </x:c>
      <x:c r="C13" s="26" t="str">
        <x:v>Focus group empleadores</x:v>
      </x:c>
      <x:c r="D13" s="26" t="str">
        <x:v>NPS Área III</x:v>
      </x:c>
      <x:c r="E13" s="44" t="n">
        <x:v>-0.5</x:v>
      </x:c>
      <x:c r="F13" s="26" t="str">
        <x:v>Crítica</x:v>
      </x:c>
      <x:c r="G13" s="26" t="str">
        <x:v>F0108; F0906; F1102; F1105</x:v>
      </x:c>
      <x:c r="H13" s="26" t="str">
        <x:v>Brecha crítica en innovación/sostenibilidad y tecnologías emergentes.</x:v>
      </x:c>
      <x:c r="I13" s="26" t="str">
        <x:v>IAformato_de_informe_-_focus_group_0331320001733776588.docx</x:v>
      </x:c>
    </x:row>
  </x:sheetData>
  <x:conditionalFormatting sqref="F2:F13">
    <x:cfRule type="expression" dxfId="9" priority="1">
      <x:formula>OR(F2="Crítica",F2="Muy alta")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68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14" t="str">
        <x:v>Codigo</x:v>
      </x:c>
      <x:c r="B1" s="14" t="str">
        <x:v>Asignatura</x:v>
      </x:c>
      <x:c r="C1" s="14" t="str">
        <x:v>Tipo_registro</x:v>
      </x:c>
      <x:c r="D1" s="14" t="str">
        <x:v>Periodo</x:v>
      </x:c>
      <x:c r="E1" s="14" t="str">
        <x:v>Creditos</x:v>
      </x:c>
      <x:c r="F1" s="14" t="str">
        <x:v>Familia_Principal_ID</x:v>
      </x:c>
      <x:c r="G1" s="14" t="str">
        <x:v>Familia_Principal</x:v>
      </x:c>
      <x:c r="H1" s="14" t="str">
        <x:v>Familias_Secundarias</x:v>
      </x:c>
      <x:c r="I1" s="14" t="str">
        <x:v>Nivel_Profundidad</x:v>
      </x:c>
      <x:c r="J1" s="14" t="str">
        <x:v>Confianza</x:v>
      </x:c>
      <x:c r="K1" s="14" t="str">
        <x:v>Estado_Normalizacion</x:v>
      </x:c>
      <x:c r="L1" s="14" t="str">
        <x:v>Regla_Justificacion</x:v>
      </x:c>
      <x:c r="M1" s="14" t="str">
        <x:v>Es_Core_135</x:v>
      </x:c>
      <x:c r="N1" s="14" t="str">
        <x:v>Es_Itinerario</x:v>
      </x:c>
      <x:c r="O1" s="14" t="str">
        <x:v>Es_Requisito_Graduacion</x:v>
      </x:c>
      <x:c r="P1" s="14" t="str">
        <x:v>Fuente</x:v>
      </x:c>
    </x:row>
    <x:row r="2">
      <x:c r="A2" s="26" t="str">
        <x:v>MATD113</x:v>
      </x:c>
      <x:c r="B2" s="26" t="str">
        <x:v>Álgebra Lineal</x:v>
      </x:c>
      <x:c r="C2" s="26" t="str">
        <x:v>MALLA_CORE</x:v>
      </x:c>
      <x:c r="D2" s="26" t="n">
        <x:v>1</x:v>
      </x:c>
      <x:c r="E2" s="26" t="n">
        <x:v>3</x:v>
      </x:c>
      <x:c r="F2" s="26" t="str">
        <x:v>F0102</x:v>
      </x:c>
      <x:c r="G2" s="26" t="str">
        <x:v>Álgebra lineal y geometría</x:v>
      </x:c>
      <x:c r="H2" s="26" t="str"/>
      <x:c r="I2" s="26" t="str">
        <x:v>N1</x:v>
      </x:c>
      <x:c r="J2" s="26" t="str">
        <x:v>Alta</x:v>
      </x:c>
      <x:c r="K2" s="26" t="str">
        <x:v>APROBADO</x:v>
      </x:c>
      <x:c r="L2" s="26" t="str">
        <x:v>Álgebra lineal explícita.</x:v>
      </x:c>
      <x:c r="M2" s="26" t="str">
        <x:v>Sí</x:v>
      </x:c>
      <x:c r="N2" s="26" t="str">
        <x:v>No</x:v>
      </x:c>
      <x:c r="O2" s="26" t="str">
        <x:v>No</x:v>
      </x:c>
      <x:c r="P2" s="26" t="str">
        <x:v>EPN_AGRO_F002</x:v>
      </x:c>
    </x:row>
    <x:row r="3">
      <x:c r="A3" s="26" t="str">
        <x:v>MATD123</x:v>
      </x:c>
      <x:c r="B3" s="26" t="str">
        <x:v>Cálculo en una Variable</x:v>
      </x:c>
      <x:c r="C3" s="26" t="str">
        <x:v>MALLA_CORE</x:v>
      </x:c>
      <x:c r="D3" s="26" t="n">
        <x:v>1</x:v>
      </x:c>
      <x:c r="E3" s="26" t="n">
        <x:v>3</x:v>
      </x:c>
      <x:c r="F3" s="26" t="str">
        <x:v>F0101</x:v>
      </x:c>
      <x:c r="G3" s="26" t="str">
        <x:v>Cálculo y matemática general</x:v>
      </x:c>
      <x:c r="H3" s="26" t="str"/>
      <x:c r="I3" s="26" t="str">
        <x:v>N1</x:v>
      </x:c>
      <x:c r="J3" s="26" t="str">
        <x:v>Alta</x:v>
      </x:c>
      <x:c r="K3" s="26" t="str">
        <x:v>APROBADO</x:v>
      </x:c>
      <x:c r="L3" s="26" t="str">
        <x:v>Cálculo explícito.</x:v>
      </x:c>
      <x:c r="M3" s="26" t="str">
        <x:v>Sí</x:v>
      </x:c>
      <x:c r="N3" s="26" t="str">
        <x:v>No</x:v>
      </x:c>
      <x:c r="O3" s="26" t="str">
        <x:v>No</x:v>
      </x:c>
      <x:c r="P3" s="26" t="str">
        <x:v>EPN_AGRO_F002</x:v>
      </x:c>
    </x:row>
    <x:row r="4">
      <x:c r="A4" s="26" t="str">
        <x:v>FISD134</x:v>
      </x:c>
      <x:c r="B4" s="26" t="str">
        <x:v>Mecánica Newtoniana</x:v>
      </x:c>
      <x:c r="C4" s="26" t="str">
        <x:v>MALLA_CORE</x:v>
      </x:c>
      <x:c r="D4" s="26" t="n">
        <x:v>1</x:v>
      </x:c>
      <x:c r="E4" s="26" t="n">
        <x:v>4</x:v>
      </x:c>
      <x:c r="F4" s="26" t="str">
        <x:v>F0201</x:v>
      </x:c>
      <x:c r="G4" s="26" t="str">
        <x:v>Física general y aplicada</x:v>
      </x:c>
      <x:c r="H4" s="26" t="str"/>
      <x:c r="I4" s="26" t="str">
        <x:v>N1</x:v>
      </x:c>
      <x:c r="J4" s="26" t="str">
        <x:v>Alta</x:v>
      </x:c>
      <x:c r="K4" s="26" t="str">
        <x:v>APROBADO</x:v>
      </x:c>
      <x:c r="L4" s="26" t="str">
        <x:v>Física/mecánica general.</x:v>
      </x:c>
      <x:c r="M4" s="26" t="str">
        <x:v>Sí</x:v>
      </x:c>
      <x:c r="N4" s="26" t="str">
        <x:v>No</x:v>
      </x:c>
      <x:c r="O4" s="26" t="str">
        <x:v>No</x:v>
      </x:c>
      <x:c r="P4" s="26" t="str">
        <x:v>EPN_AGRO_F002</x:v>
      </x:c>
    </x:row>
    <x:row r="5">
      <x:c r="A5" s="26" t="str">
        <x:v>QUID143</x:v>
      </x:c>
      <x:c r="B5" s="26" t="str">
        <x:v>Química General</x:v>
      </x:c>
      <x:c r="C5" s="26" t="str">
        <x:v>MALLA_CORE</x:v>
      </x:c>
      <x:c r="D5" s="26" t="n">
        <x:v>1</x:v>
      </x:c>
      <x:c r="E5" s="26" t="n">
        <x:v>3</x:v>
      </x:c>
      <x:c r="F5" s="26" t="str">
        <x:v>F0202</x:v>
      </x:c>
      <x:c r="G5" s="26" t="str">
        <x:v>Química general e inorgánica</x:v>
      </x:c>
      <x:c r="H5" s="26" t="str"/>
      <x:c r="I5" s="26" t="str">
        <x:v>N1</x:v>
      </x:c>
      <x:c r="J5" s="26" t="str">
        <x:v>Alta</x:v>
      </x:c>
      <x:c r="K5" s="26" t="str">
        <x:v>APROBADO</x:v>
      </x:c>
      <x:c r="L5" s="26" t="str">
        <x:v>Química general explícita.</x:v>
      </x:c>
      <x:c r="M5" s="26" t="str">
        <x:v>Sí</x:v>
      </x:c>
      <x:c r="N5" s="26" t="str">
        <x:v>No</x:v>
      </x:c>
      <x:c r="O5" s="26" t="str">
        <x:v>No</x:v>
      </x:c>
      <x:c r="P5" s="26" t="str">
        <x:v>EPN_AGRO_F002</x:v>
      </x:c>
    </x:row>
    <x:row r="6">
      <x:c r="A6" s="26" t="str">
        <x:v>ICOD111</x:v>
      </x:c>
      <x:c r="B6" s="26" t="str">
        <x:v>Herramientas Informáticas</x:v>
      </x:c>
      <x:c r="C6" s="26" t="str">
        <x:v>MALLA_CORE</x:v>
      </x:c>
      <x:c r="D6" s="26" t="n">
        <x:v>1</x:v>
      </x:c>
      <x:c r="E6" s="26" t="n">
        <x:v>1</x:v>
      </x:c>
      <x:c r="F6" s="26" t="str">
        <x:v>F0107</x:v>
      </x:c>
      <x:c r="G6" s="26" t="str">
        <x:v>Informática, bases de datos y software</x:v>
      </x:c>
      <x:c r="H6" s="26" t="str"/>
      <x:c r="I6" s="26" t="str">
        <x:v>N1</x:v>
      </x:c>
      <x:c r="J6" s="26" t="str">
        <x:v>Alta</x:v>
      </x:c>
      <x:c r="K6" s="26" t="str">
        <x:v>APROBADO</x:v>
      </x:c>
      <x:c r="L6" s="26" t="str">
        <x:v>Herramientas informáticas/software.</x:v>
      </x:c>
      <x:c r="M6" s="26" t="str">
        <x:v>Sí</x:v>
      </x:c>
      <x:c r="N6" s="26" t="str">
        <x:v>No</x:v>
      </x:c>
      <x:c r="O6" s="26" t="str">
        <x:v>No</x:v>
      </x:c>
      <x:c r="P6" s="26" t="str">
        <x:v>EPN_AGRO_F002</x:v>
      </x:c>
    </x:row>
    <x:row r="7">
      <x:c r="A7" s="26" t="str">
        <x:v>CSHD111</x:v>
      </x:c>
      <x:c r="B7" s="26" t="str">
        <x:v>Comunicación Oral y Escrita</x:v>
      </x:c>
      <x:c r="C7" s="26" t="str">
        <x:v>MALLA_CORE</x:v>
      </x:c>
      <x:c r="D7" s="26" t="n">
        <x:v>1</x:v>
      </x:c>
      <x:c r="E7" s="26" t="n">
        <x:v>1</x:v>
      </x:c>
      <x:c r="F7" s="26" t="str">
        <x:v>F1602</x:v>
      </x:c>
      <x:c r="G7" s="26" t="str">
        <x:v>Comunicación académica y profesional</x:v>
      </x:c>
      <x:c r="H7" s="26" t="str"/>
      <x:c r="I7" s="26" t="str">
        <x:v>N1</x:v>
      </x:c>
      <x:c r="J7" s="26" t="str">
        <x:v>Alta</x:v>
      </x:c>
      <x:c r="K7" s="26" t="str">
        <x:v>APROBADO</x:v>
      </x:c>
      <x:c r="L7" s="26" t="str">
        <x:v>Comunicación oral y escrita.</x:v>
      </x:c>
      <x:c r="M7" s="26" t="str">
        <x:v>Sí</x:v>
      </x:c>
      <x:c r="N7" s="26" t="str">
        <x:v>No</x:v>
      </x:c>
      <x:c r="O7" s="26" t="str">
        <x:v>No</x:v>
      </x:c>
      <x:c r="P7" s="26" t="str">
        <x:v>EPN_AGRO_F002</x:v>
      </x:c>
    </x:row>
    <x:row r="8">
      <x:c r="A8" s="26" t="str">
        <x:v>MATD223</x:v>
      </x:c>
      <x:c r="B8" s="26" t="str">
        <x:v>Probabilidad y Estadística Básicas</x:v>
      </x:c>
      <x:c r="C8" s="26" t="str">
        <x:v>MALLA_CORE</x:v>
      </x:c>
      <x:c r="D8" s="26" t="n">
        <x:v>2</x:v>
      </x:c>
      <x:c r="E8" s="26" t="n">
        <x:v>3</x:v>
      </x:c>
      <x:c r="F8" s="26" t="str">
        <x:v>F0104</x:v>
      </x:c>
      <x:c r="G8" s="26" t="str">
        <x:v>Estadística y probabilidad</x:v>
      </x:c>
      <x:c r="H8" s="26" t="str"/>
      <x:c r="I8" s="26" t="str">
        <x:v>N1</x:v>
      </x:c>
      <x:c r="J8" s="26" t="str">
        <x:v>Alta</x:v>
      </x:c>
      <x:c r="K8" s="26" t="str">
        <x:v>APROBADO</x:v>
      </x:c>
      <x:c r="L8" s="26" t="str">
        <x:v>Probabilidad y estadística explícitas.</x:v>
      </x:c>
      <x:c r="M8" s="26" t="str">
        <x:v>Sí</x:v>
      </x:c>
      <x:c r="N8" s="26" t="str">
        <x:v>No</x:v>
      </x:c>
      <x:c r="O8" s="26" t="str">
        <x:v>No</x:v>
      </x:c>
      <x:c r="P8" s="26" t="str">
        <x:v>EPN_AGRO_F002</x:v>
      </x:c>
    </x:row>
    <x:row r="9">
      <x:c r="A9" s="26" t="str">
        <x:v>IAQD222</x:v>
      </x:c>
      <x:c r="B9" s="26" t="str">
        <x:v>Matemática Aplicada en Ingeniería I</x:v>
      </x:c>
      <x:c r="C9" s="26" t="str">
        <x:v>MALLA_CORE</x:v>
      </x:c>
      <x:c r="D9" s="26" t="n">
        <x:v>2</x:v>
      </x:c>
      <x:c r="E9" s="26" t="n">
        <x:v>2</x:v>
      </x:c>
      <x:c r="F9" s="26" t="str">
        <x:v>F0101</x:v>
      </x:c>
      <x:c r="G9" s="26" t="str">
        <x:v>Cálculo y matemática general</x:v>
      </x:c>
      <x:c r="H9" s="26" t="str"/>
      <x:c r="I9" s="26" t="str">
        <x:v>N1</x:v>
      </x:c>
      <x:c r="J9" s="26" t="str">
        <x:v>Media</x:v>
      </x:c>
      <x:c r="K9" s="26" t="str">
        <x:v>APROBADO</x:v>
      </x:c>
      <x:c r="L9" s="26" t="str">
        <x:v>Matemática aplicada; familia amplia de matemática general.</x:v>
      </x:c>
      <x:c r="M9" s="26" t="str">
        <x:v>Sí</x:v>
      </x:c>
      <x:c r="N9" s="26" t="str">
        <x:v>No</x:v>
      </x:c>
      <x:c r="O9" s="26" t="str">
        <x:v>No</x:v>
      </x:c>
      <x:c r="P9" s="26" t="str">
        <x:v>EPN_AGRO_F002</x:v>
      </x:c>
    </x:row>
    <x:row r="10">
      <x:c r="A10" s="26" t="str">
        <x:v>MATD213</x:v>
      </x:c>
      <x:c r="B10" s="26" t="str">
        <x:v>Ecuaciones Diferenciales Ordinarias</x:v>
      </x:c>
      <x:c r="C10" s="26" t="str">
        <x:v>MALLA_CORE</x:v>
      </x:c>
      <x:c r="D10" s="26" t="n">
        <x:v>2</x:v>
      </x:c>
      <x:c r="E10" s="26" t="n">
        <x:v>3</x:v>
      </x:c>
      <x:c r="F10" s="26" t="str">
        <x:v>F0103</x:v>
      </x:c>
      <x:c r="G10" s="26" t="str">
        <x:v>Ecuaciones diferenciales y modelización matemática</x:v>
      </x:c>
      <x:c r="H10" s="26" t="str"/>
      <x:c r="I10" s="26" t="str">
        <x:v>N1</x:v>
      </x:c>
      <x:c r="J10" s="26" t="str">
        <x:v>Alta</x:v>
      </x:c>
      <x:c r="K10" s="26" t="str">
        <x:v>APROBADO</x:v>
      </x:c>
      <x:c r="L10" s="26" t="str">
        <x:v>Ecuaciones diferenciales explícitas.</x:v>
      </x:c>
      <x:c r="M10" s="26" t="str">
        <x:v>Sí</x:v>
      </x:c>
      <x:c r="N10" s="26" t="str">
        <x:v>No</x:v>
      </x:c>
      <x:c r="O10" s="26" t="str">
        <x:v>No</x:v>
      </x:c>
      <x:c r="P10" s="26" t="str">
        <x:v>EPN_AGRO_F002</x:v>
      </x:c>
    </x:row>
    <x:row r="11">
      <x:c r="A11" s="26" t="str">
        <x:v>IAQD242</x:v>
      </x:c>
      <x:c r="B11" s="26" t="str">
        <x:v>Física para Ingeniería</x:v>
      </x:c>
      <x:c r="C11" s="26" t="str">
        <x:v>MALLA_CORE</x:v>
      </x:c>
      <x:c r="D11" s="26" t="n">
        <x:v>2</x:v>
      </x:c>
      <x:c r="E11" s="26" t="n">
        <x:v>2</x:v>
      </x:c>
      <x:c r="F11" s="26" t="str">
        <x:v>F0201</x:v>
      </x:c>
      <x:c r="G11" s="26" t="str">
        <x:v>Física general y aplicada</x:v>
      </x:c>
      <x:c r="H11" s="26" t="str"/>
      <x:c r="I11" s="26" t="str">
        <x:v>N1</x:v>
      </x:c>
      <x:c r="J11" s="26" t="str">
        <x:v>Alta</x:v>
      </x:c>
      <x:c r="K11" s="26" t="str">
        <x:v>APROBADO</x:v>
      </x:c>
      <x:c r="L11" s="26" t="str">
        <x:v>Física aplicada a ingeniería.</x:v>
      </x:c>
      <x:c r="M11" s="26" t="str">
        <x:v>Sí</x:v>
      </x:c>
      <x:c r="N11" s="26" t="str">
        <x:v>No</x:v>
      </x:c>
      <x:c r="O11" s="26" t="str">
        <x:v>No</x:v>
      </x:c>
      <x:c r="P11" s="26" t="str">
        <x:v>EPN_AGRO_F002</x:v>
      </x:c>
    </x:row>
    <x:row r="12">
      <x:c r="A12" s="26" t="str">
        <x:v>IAQD253</x:v>
      </x:c>
      <x:c r="B12" s="26" t="str">
        <x:v>Química Avanzada</x:v>
      </x:c>
      <x:c r="C12" s="26" t="str">
        <x:v>MALLA_CORE</x:v>
      </x:c>
      <x:c r="D12" s="26" t="n">
        <x:v>2</x:v>
      </x:c>
      <x:c r="E12" s="26" t="n">
        <x:v>3</x:v>
      </x:c>
      <x:c r="F12" s="26" t="str">
        <x:v>F0202</x:v>
      </x:c>
      <x:c r="G12" s="26" t="str">
        <x:v>Química general e inorgánica</x:v>
      </x:c>
      <x:c r="H12" s="26" t="str"/>
      <x:c r="I12" s="26" t="str">
        <x:v>N1</x:v>
      </x:c>
      <x:c r="J12" s="26" t="str">
        <x:v>Media</x:v>
      </x:c>
      <x:c r="K12" s="26" t="str">
        <x:v>APROBADO</x:v>
      </x:c>
      <x:c r="L12" s="26" t="str">
        <x:v>Química avanzada; el título no permite subclasificación más específica.</x:v>
      </x:c>
      <x:c r="M12" s="26" t="str">
        <x:v>Sí</x:v>
      </x:c>
      <x:c r="N12" s="26" t="str">
        <x:v>No</x:v>
      </x:c>
      <x:c r="O12" s="26" t="str">
        <x:v>No</x:v>
      </x:c>
      <x:c r="P12" s="26" t="str">
        <x:v>EPN_AGRO_F002</x:v>
      </x:c>
    </x:row>
    <x:row r="13">
      <x:c r="A13" s="26" t="str">
        <x:v>IAQD262</x:v>
      </x:c>
      <x:c r="B13" s="26" t="str">
        <x:v>Programación</x:v>
      </x:c>
      <x:c r="C13" s="26" t="str">
        <x:v>MALLA_CORE</x:v>
      </x:c>
      <x:c r="D13" s="26" t="n">
        <x:v>2</x:v>
      </x:c>
      <x:c r="E13" s="26" t="n">
        <x:v>2</x:v>
      </x:c>
      <x:c r="F13" s="26" t="str">
        <x:v>F0106</x:v>
      </x:c>
      <x:c r="G13" s="26" t="str">
        <x:v>Métodos numéricos y programación</x:v>
      </x:c>
      <x:c r="H13" s="26" t="str"/>
      <x:c r="I13" s="26" t="str">
        <x:v>N1</x:v>
      </x:c>
      <x:c r="J13" s="26" t="str">
        <x:v>Alta</x:v>
      </x:c>
      <x:c r="K13" s="26" t="str">
        <x:v>APROBADO</x:v>
      </x:c>
      <x:c r="L13" s="26" t="str">
        <x:v>Programación explícita.</x:v>
      </x:c>
      <x:c r="M13" s="26" t="str">
        <x:v>Sí</x:v>
      </x:c>
      <x:c r="N13" s="26" t="str">
        <x:v>No</x:v>
      </x:c>
      <x:c r="O13" s="26" t="str">
        <x:v>No</x:v>
      </x:c>
      <x:c r="P13" s="26" t="str">
        <x:v>EPN_AGRO_F002</x:v>
      </x:c>
    </x:row>
    <x:row r="14">
      <x:c r="A14" s="26" t="str">
        <x:v>IAQD312</x:v>
      </x:c>
      <x:c r="B14" s="26" t="str">
        <x:v>Matemática Aplicada en Ingeniería II</x:v>
      </x:c>
      <x:c r="C14" s="26" t="str">
        <x:v>MALLA_CORE</x:v>
      </x:c>
      <x:c r="D14" s="26" t="n">
        <x:v>3</x:v>
      </x:c>
      <x:c r="E14" s="26" t="n">
        <x:v>2</x:v>
      </x:c>
      <x:c r="F14" s="26" t="str">
        <x:v>F0101</x:v>
      </x:c>
      <x:c r="G14" s="26" t="str">
        <x:v>Cálculo y matemática general</x:v>
      </x:c>
      <x:c r="H14" s="26" t="str"/>
      <x:c r="I14" s="26" t="str">
        <x:v>N2</x:v>
      </x:c>
      <x:c r="J14" s="26" t="str">
        <x:v>Media</x:v>
      </x:c>
      <x:c r="K14" s="26" t="str">
        <x:v>APROBADO</x:v>
      </x:c>
      <x:c r="L14" s="26" t="str">
        <x:v>Matemática aplicada II.</x:v>
      </x:c>
      <x:c r="M14" s="26" t="str">
        <x:v>Sí</x:v>
      </x:c>
      <x:c r="N14" s="26" t="str">
        <x:v>No</x:v>
      </x:c>
      <x:c r="O14" s="26" t="str">
        <x:v>No</x:v>
      </x:c>
      <x:c r="P14" s="26" t="str">
        <x:v>EPN_AGRO_F002</x:v>
      </x:c>
    </x:row>
    <x:row r="15">
      <x:c r="A15" s="26" t="str">
        <x:v>IAQD323</x:v>
      </x:c>
      <x:c r="B15" s="26" t="str">
        <x:v>Balance de Masa</x:v>
      </x:c>
      <x:c r="C15" s="26" t="str">
        <x:v>MALLA_CORE</x:v>
      </x:c>
      <x:c r="D15" s="26" t="n">
        <x:v>3</x:v>
      </x:c>
      <x:c r="E15" s="26" t="n">
        <x:v>3</x:v>
      </x:c>
      <x:c r="F15" s="26" t="str">
        <x:v>F0501</x:v>
      </x:c>
      <x:c r="G15" s="26" t="str">
        <x:v>Balances de materia y energía</x:v>
      </x:c>
      <x:c r="H15" s="26" t="str"/>
      <x:c r="I15" s="26" t="str">
        <x:v>N1</x:v>
      </x:c>
      <x:c r="J15" s="26" t="str">
        <x:v>Alta</x:v>
      </x:c>
      <x:c r="K15" s="26" t="str">
        <x:v>APROBADO</x:v>
      </x:c>
      <x:c r="L15" s="26" t="str">
        <x:v>Balance de masa.</x:v>
      </x:c>
      <x:c r="M15" s="26" t="str">
        <x:v>Sí</x:v>
      </x:c>
      <x:c r="N15" s="26" t="str">
        <x:v>No</x:v>
      </x:c>
      <x:c r="O15" s="26" t="str">
        <x:v>No</x:v>
      </x:c>
      <x:c r="P15" s="26" t="str">
        <x:v>EPN_AGRO_F002</x:v>
      </x:c>
    </x:row>
    <x:row r="16">
      <x:c r="A16" s="26" t="str">
        <x:v>IAQD333</x:v>
      </x:c>
      <x:c r="B16" s="26" t="str">
        <x:v>Termodinámica I</x:v>
      </x:c>
      <x:c r="C16" s="26" t="str">
        <x:v>MALLA_CORE</x:v>
      </x:c>
      <x:c r="D16" s="26" t="n">
        <x:v>3</x:v>
      </x:c>
      <x:c r="E16" s="26" t="n">
        <x:v>3</x:v>
      </x:c>
      <x:c r="F16" s="26" t="str">
        <x:v>F0401</x:v>
      </x:c>
      <x:c r="G16" s="26" t="str">
        <x:v>Termodinámica</x:v>
      </x:c>
      <x:c r="H16" s="26" t="str"/>
      <x:c r="I16" s="26" t="str">
        <x:v>N1</x:v>
      </x:c>
      <x:c r="J16" s="26" t="str">
        <x:v>Alta</x:v>
      </x:c>
      <x:c r="K16" s="26" t="str">
        <x:v>APROBADO</x:v>
      </x:c>
      <x:c r="L16" s="26" t="str">
        <x:v>Termodinámica I.</x:v>
      </x:c>
      <x:c r="M16" s="26" t="str">
        <x:v>Sí</x:v>
      </x:c>
      <x:c r="N16" s="26" t="str">
        <x:v>No</x:v>
      </x:c>
      <x:c r="O16" s="26" t="str">
        <x:v>No</x:v>
      </x:c>
      <x:c r="P16" s="26" t="str">
        <x:v>EPN_AGRO_F002</x:v>
      </x:c>
    </x:row>
    <x:row r="17">
      <x:c r="A17" s="26" t="str">
        <x:v>IAQD343</x:v>
      </x:c>
      <x:c r="B17" s="26" t="str">
        <x:v>Química Orgánica I</x:v>
      </x:c>
      <x:c r="C17" s="26" t="str">
        <x:v>MALLA_CORE</x:v>
      </x:c>
      <x:c r="D17" s="26" t="n">
        <x:v>3</x:v>
      </x:c>
      <x:c r="E17" s="26" t="n">
        <x:v>3</x:v>
      </x:c>
      <x:c r="F17" s="26" t="str">
        <x:v>F0203</x:v>
      </x:c>
      <x:c r="G17" s="26" t="str">
        <x:v>Química orgánica</x:v>
      </x:c>
      <x:c r="H17" s="26" t="str"/>
      <x:c r="I17" s="26" t="str">
        <x:v>N1</x:v>
      </x:c>
      <x:c r="J17" s="26" t="str">
        <x:v>Alta</x:v>
      </x:c>
      <x:c r="K17" s="26" t="str">
        <x:v>APROBADO</x:v>
      </x:c>
      <x:c r="L17" s="26" t="str">
        <x:v>Química orgánica explícita.</x:v>
      </x:c>
      <x:c r="M17" s="26" t="str">
        <x:v>Sí</x:v>
      </x:c>
      <x:c r="N17" s="26" t="str">
        <x:v>No</x:v>
      </x:c>
      <x:c r="O17" s="26" t="str">
        <x:v>No</x:v>
      </x:c>
      <x:c r="P17" s="26" t="str">
        <x:v>EPN_AGRO_F002</x:v>
      </x:c>
    </x:row>
    <x:row r="18">
      <x:c r="A18" s="26" t="str">
        <x:v>AGRD354</x:v>
      </x:c>
      <x:c r="B18" s="26" t="str">
        <x:v>Análisis Instrumental y de Alimentos</x:v>
      </x:c>
      <x:c r="C18" s="26" t="str">
        <x:v>MALLA_CORE</x:v>
      </x:c>
      <x:c r="D18" s="26" t="n">
        <x:v>3</x:v>
      </x:c>
      <x:c r="E18" s="26" t="n">
        <x:v>4</x:v>
      </x:c>
      <x:c r="F18" s="26" t="str">
        <x:v>F0801</x:v>
      </x:c>
      <x:c r="G18" s="26" t="str">
        <x:v>Análisis químico, físico e instrumental de alimentos</x:v>
      </x:c>
      <x:c r="H18" s="26" t="str"/>
      <x:c r="I18" s="26" t="str">
        <x:v>N2</x:v>
      </x:c>
      <x:c r="J18" s="26" t="str">
        <x:v>Alta</x:v>
      </x:c>
      <x:c r="K18" s="26" t="str">
        <x:v>APROBADO</x:v>
      </x:c>
      <x:c r="L18" s="26" t="str">
        <x:v>Análisis instrumental y de alimentos.</x:v>
      </x:c>
      <x:c r="M18" s="26" t="str">
        <x:v>Sí</x:v>
      </x:c>
      <x:c r="N18" s="26" t="str">
        <x:v>No</x:v>
      </x:c>
      <x:c r="O18" s="26" t="str">
        <x:v>No</x:v>
      </x:c>
      <x:c r="P18" s="26" t="str">
        <x:v>EPN_AGRO_F002</x:v>
      </x:c>
    </x:row>
    <x:row r="19">
      <x:c r="A19" s="26" t="str">
        <x:v>AGRD412</x:v>
      </x:c>
      <x:c r="B19" s="26" t="str">
        <x:v>Agroindustrias</x:v>
      </x:c>
      <x:c r="C19" s="26" t="str">
        <x:v>MALLA_CORE</x:v>
      </x:c>
      <x:c r="D19" s="26" t="n">
        <x:v>4</x:v>
      </x:c>
      <x:c r="E19" s="26" t="n">
        <x:v>2</x:v>
      </x:c>
      <x:c r="F19" s="26" t="str">
        <x:v>NR</x:v>
      </x:c>
      <x:c r="G19" s="26" t="str">
        <x:v>NR</x:v>
      </x:c>
      <x:c r="H19" s="26" t="str"/>
      <x:c r="I19" s="26" t="str">
        <x:v>NR</x:v>
      </x:c>
      <x:c r="J19" s="26" t="str">
        <x:v>Baja</x:v>
      </x:c>
      <x:c r="K19" s="26" t="str">
        <x:v>REVISAR</x:v>
      </x:c>
      <x:c r="L19" s="26" t="str">
        <x:v>'Agroindustrias' es demasiado amplio para asignar una familia sin contenidos.</x:v>
      </x:c>
      <x:c r="M19" s="26" t="str">
        <x:v>Sí</x:v>
      </x:c>
      <x:c r="N19" s="26" t="str">
        <x:v>No</x:v>
      </x:c>
      <x:c r="O19" s="26" t="str">
        <x:v>No</x:v>
      </x:c>
      <x:c r="P19" s="26" t="str">
        <x:v>EPN_AGRO_F002</x:v>
      </x:c>
    </x:row>
    <x:row r="20">
      <x:c r="A20" s="26" t="str">
        <x:v>IAQD423</x:v>
      </x:c>
      <x:c r="B20" s="26" t="str">
        <x:v>Balance de Energía</x:v>
      </x:c>
      <x:c r="C20" s="26" t="str">
        <x:v>MALLA_CORE</x:v>
      </x:c>
      <x:c r="D20" s="26" t="n">
        <x:v>4</x:v>
      </x:c>
      <x:c r="E20" s="26" t="n">
        <x:v>3</x:v>
      </x:c>
      <x:c r="F20" s="26" t="str">
        <x:v>F0501</x:v>
      </x:c>
      <x:c r="G20" s="26" t="str">
        <x:v>Balances de materia y energía</x:v>
      </x:c>
      <x:c r="H20" s="26" t="str"/>
      <x:c r="I20" s="26" t="str">
        <x:v>N1</x:v>
      </x:c>
      <x:c r="J20" s="26" t="str">
        <x:v>Alta</x:v>
      </x:c>
      <x:c r="K20" s="26" t="str">
        <x:v>APROBADO</x:v>
      </x:c>
      <x:c r="L20" s="26" t="str">
        <x:v>Balance de energía.</x:v>
      </x:c>
      <x:c r="M20" s="26" t="str">
        <x:v>Sí</x:v>
      </x:c>
      <x:c r="N20" s="26" t="str">
        <x:v>No</x:v>
      </x:c>
      <x:c r="O20" s="26" t="str">
        <x:v>No</x:v>
      </x:c>
      <x:c r="P20" s="26" t="str">
        <x:v>EPN_AGRO_F002</x:v>
      </x:c>
    </x:row>
    <x:row r="21">
      <x:c r="A21" s="26" t="str">
        <x:v>IAQD432</x:v>
      </x:c>
      <x:c r="B21" s="26" t="str">
        <x:v>Termodinámica II</x:v>
      </x:c>
      <x:c r="C21" s="26" t="str">
        <x:v>MALLA_CORE</x:v>
      </x:c>
      <x:c r="D21" s="26" t="n">
        <x:v>4</x:v>
      </x:c>
      <x:c r="E21" s="26" t="n">
        <x:v>2</x:v>
      </x:c>
      <x:c r="F21" s="26" t="str">
        <x:v>F0401</x:v>
      </x:c>
      <x:c r="G21" s="26" t="str">
        <x:v>Termodinámica</x:v>
      </x:c>
      <x:c r="H21" s="26" t="str"/>
      <x:c r="I21" s="26" t="str">
        <x:v>N2</x:v>
      </x:c>
      <x:c r="J21" s="26" t="str">
        <x:v>Alta</x:v>
      </x:c>
      <x:c r="K21" s="26" t="str">
        <x:v>APROBADO</x:v>
      </x:c>
      <x:c r="L21" s="26" t="str">
        <x:v>Termodinámica II.</x:v>
      </x:c>
      <x:c r="M21" s="26" t="str">
        <x:v>Sí</x:v>
      </x:c>
      <x:c r="N21" s="26" t="str">
        <x:v>No</x:v>
      </x:c>
      <x:c r="O21" s="26" t="str">
        <x:v>No</x:v>
      </x:c>
      <x:c r="P21" s="26" t="str">
        <x:v>EPN_AGRO_F002</x:v>
      </x:c>
    </x:row>
    <x:row r="22">
      <x:c r="A22" s="26" t="str">
        <x:v>AGRD443</x:v>
      </x:c>
      <x:c r="B22" s="26" t="str">
        <x:v>Química Bioorgánica</x:v>
      </x:c>
      <x:c r="C22" s="26" t="str">
        <x:v>MALLA_CORE</x:v>
      </x:c>
      <x:c r="D22" s="26" t="n">
        <x:v>4</x:v>
      </x:c>
      <x:c r="E22" s="26" t="n">
        <x:v>3</x:v>
      </x:c>
      <x:c r="F22" s="26" t="str">
        <x:v>F0302</x:v>
      </x:c>
      <x:c r="G22" s="26" t="str">
        <x:v>Bioquímica y metabolismo</x:v>
      </x:c>
      <x:c r="H22" s="26" t="str">
        <x:v>F0203</x:v>
      </x:c>
      <x:c r="I22" s="26" t="str">
        <x:v>N2</x:v>
      </x:c>
      <x:c r="J22" s="26" t="str">
        <x:v>Media</x:v>
      </x:c>
      <x:c r="K22" s="26" t="str">
        <x:v>APROBADO</x:v>
      </x:c>
      <x:c r="L22" s="26" t="str">
        <x:v>Química bioorgánica: puente bioquímica/química orgánica; principal bioquímica.</x:v>
      </x:c>
      <x:c r="M22" s="26" t="str">
        <x:v>Sí</x:v>
      </x:c>
      <x:c r="N22" s="26" t="str">
        <x:v>No</x:v>
      </x:c>
      <x:c r="O22" s="26" t="str">
        <x:v>No</x:v>
      </x:c>
      <x:c r="P22" s="26" t="str">
        <x:v>EPN_AGRO_F002</x:v>
      </x:c>
    </x:row>
    <x:row r="23">
      <x:c r="A23" s="26" t="str">
        <x:v>AGRD453</x:v>
      </x:c>
      <x:c r="B23" s="26" t="str">
        <x:v>Manejo de Suelos Agrícolas</x:v>
      </x:c>
      <x:c r="C23" s="26" t="str">
        <x:v>MALLA_CORE</x:v>
      </x:c>
      <x:c r="D23" s="26" t="n">
        <x:v>4</x:v>
      </x:c>
      <x:c r="E23" s="26" t="n">
        <x:v>3</x:v>
      </x:c>
      <x:c r="F23" s="26" t="str">
        <x:v>F1005</x:v>
      </x:c>
      <x:c r="G23" s="26" t="str">
        <x:v>Edafología, geología y climatología</x:v>
      </x:c>
      <x:c r="H23" s="26" t="str"/>
      <x:c r="I23" s="26" t="str">
        <x:v>N2</x:v>
      </x:c>
      <x:c r="J23" s="26" t="str">
        <x:v>Alta</x:v>
      </x:c>
      <x:c r="K23" s="26" t="str">
        <x:v>APROBADO</x:v>
      </x:c>
      <x:c r="L23" s="26" t="str">
        <x:v>Manejo de suelos agrícolas.</x:v>
      </x:c>
      <x:c r="M23" s="26" t="str">
        <x:v>Sí</x:v>
      </x:c>
      <x:c r="N23" s="26" t="str">
        <x:v>No</x:v>
      </x:c>
      <x:c r="O23" s="26" t="str">
        <x:v>No</x:v>
      </x:c>
      <x:c r="P23" s="26" t="str">
        <x:v>EPN_AGRO_F002</x:v>
      </x:c>
    </x:row>
    <x:row r="24">
      <x:c r="A24" s="26" t="str">
        <x:v>IAQD462</x:v>
      </x:c>
      <x:c r="B24" s="26" t="str">
        <x:v>Biología</x:v>
      </x:c>
      <x:c r="C24" s="26" t="str">
        <x:v>MALLA_CORE</x:v>
      </x:c>
      <x:c r="D24" s="26" t="n">
        <x:v>4</x:v>
      </x:c>
      <x:c r="E24" s="26" t="n">
        <x:v>2</x:v>
      </x:c>
      <x:c r="F24" s="26" t="str">
        <x:v>F0301</x:v>
      </x:c>
      <x:c r="G24" s="26" t="str">
        <x:v>Biología y fisiología</x:v>
      </x:c>
      <x:c r="H24" s="26" t="str"/>
      <x:c r="I24" s="26" t="str">
        <x:v>N1</x:v>
      </x:c>
      <x:c r="J24" s="26" t="str">
        <x:v>Alta</x:v>
      </x:c>
      <x:c r="K24" s="26" t="str">
        <x:v>APROBADO</x:v>
      </x:c>
      <x:c r="L24" s="26" t="str">
        <x:v>Biología explícita.</x:v>
      </x:c>
      <x:c r="M24" s="26" t="str">
        <x:v>Sí</x:v>
      </x:c>
      <x:c r="N24" s="26" t="str">
        <x:v>No</x:v>
      </x:c>
      <x:c r="O24" s="26" t="str">
        <x:v>No</x:v>
      </x:c>
      <x:c r="P24" s="26" t="str">
        <x:v>EPN_AGRO_F002</x:v>
      </x:c>
    </x:row>
    <x:row r="25">
      <x:c r="A25" s="26" t="str">
        <x:v>IAQD511</x:v>
      </x:c>
      <x:c r="B25" s="26" t="str">
        <x:v>Seguridad Industrial y Salud Ocupacional</x:v>
      </x:c>
      <x:c r="C25" s="26" t="str">
        <x:v>MALLA_CORE</x:v>
      </x:c>
      <x:c r="D25" s="26" t="n">
        <x:v>5</x:v>
      </x:c>
      <x:c r="E25" s="26" t="n">
        <x:v>1</x:v>
      </x:c>
      <x:c r="F25" s="26" t="str">
        <x:v>NR</x:v>
      </x:c>
      <x:c r="G25" s="26" t="str">
        <x:v>NR</x:v>
      </x:c>
      <x:c r="H25" s="26" t="str"/>
      <x:c r="I25" s="26" t="str">
        <x:v>NR</x:v>
      </x:c>
      <x:c r="J25" s="26" t="str">
        <x:v>Baja</x:v>
      </x:c>
      <x:c r="K25" s="26" t="str">
        <x:v>REVISAR</x:v>
      </x:c>
      <x:c r="L25" s="26" t="str">
        <x:v>La taxonomía v1.0 no contiene una familia específica de seguridad industrial y salud ocupacional.</x:v>
      </x:c>
      <x:c r="M25" s="26" t="str">
        <x:v>Sí</x:v>
      </x:c>
      <x:c r="N25" s="26" t="str">
        <x:v>No</x:v>
      </x:c>
      <x:c r="O25" s="26" t="str">
        <x:v>No</x:v>
      </x:c>
      <x:c r="P25" s="26" t="str">
        <x:v>EPN_AGRO_F002</x:v>
      </x:c>
    </x:row>
    <x:row r="26">
      <x:c r="A26" s="26" t="str">
        <x:v>AGRD522</x:v>
      </x:c>
      <x:c r="B26" s="26" t="str">
        <x:v>Mecánica de Fluidos</x:v>
      </x:c>
      <x:c r="C26" s="26" t="str">
        <x:v>MALLA_CORE</x:v>
      </x:c>
      <x:c r="D26" s="26" t="n">
        <x:v>5</x:v>
      </x:c>
      <x:c r="E26" s="26" t="n">
        <x:v>2</x:v>
      </x:c>
      <x:c r="F26" s="26" t="str">
        <x:v>F0402</x:v>
      </x:c>
      <x:c r="G26" s="26" t="str">
        <x:v>Mecánica de fluidos e hidráulica</x:v>
      </x:c>
      <x:c r="H26" s="26" t="str"/>
      <x:c r="I26" s="26" t="str">
        <x:v>N2</x:v>
      </x:c>
      <x:c r="J26" s="26" t="str">
        <x:v>Alta</x:v>
      </x:c>
      <x:c r="K26" s="26" t="str">
        <x:v>APROBADO</x:v>
      </x:c>
      <x:c r="L26" s="26" t="str">
        <x:v>Mecánica de fluidos.</x:v>
      </x:c>
      <x:c r="M26" s="26" t="str">
        <x:v>Sí</x:v>
      </x:c>
      <x:c r="N26" s="26" t="str">
        <x:v>No</x:v>
      </x:c>
      <x:c r="O26" s="26" t="str">
        <x:v>No</x:v>
      </x:c>
      <x:c r="P26" s="26" t="str">
        <x:v>EPN_AGRO_F002</x:v>
      </x:c>
    </x:row>
    <x:row r="27">
      <x:c r="A27" s="26" t="str">
        <x:v>AGRD534</x:v>
      </x:c>
      <x:c r="B27" s="26" t="str">
        <x:v>Transferencia de Masa y Calor</x:v>
      </x:c>
      <x:c r="C27" s="26" t="str">
        <x:v>MALLA_CORE</x:v>
      </x:c>
      <x:c r="D27" s="26" t="n">
        <x:v>5</x:v>
      </x:c>
      <x:c r="E27" s="26" t="n">
        <x:v>4</x:v>
      </x:c>
      <x:c r="F27" s="26" t="str">
        <x:v>F0403</x:v>
      </x:c>
      <x:c r="G27" s="26" t="str">
        <x:v>Transferencia de calor</x:v>
      </x:c>
      <x:c r="H27" s="26" t="str">
        <x:v>F0404</x:v>
      </x:c>
      <x:c r="I27" s="26" t="str">
        <x:v>N2</x:v>
      </x:c>
      <x:c r="J27" s="26" t="str">
        <x:v>Alta</x:v>
      </x:c>
      <x:c r="K27" s="26" t="str">
        <x:v>APROBADO</x:v>
      </x:c>
      <x:c r="L27" s="26" t="str">
        <x:v>Asignatura combinada: principal calor; masa como secundaria para evitar doble crédito.</x:v>
      </x:c>
      <x:c r="M27" s="26" t="str">
        <x:v>Sí</x:v>
      </x:c>
      <x:c r="N27" s="26" t="str">
        <x:v>No</x:v>
      </x:c>
      <x:c r="O27" s="26" t="str">
        <x:v>No</x:v>
      </x:c>
      <x:c r="P27" s="26" t="str">
        <x:v>EPN_AGRO_F002</x:v>
      </x:c>
    </x:row>
    <x:row r="28">
      <x:c r="A28" s="26" t="str">
        <x:v>IAQD562</x:v>
      </x:c>
      <x:c r="B28" s="26" t="str">
        <x:v>Bioquímica</x:v>
      </x:c>
      <x:c r="C28" s="26" t="str">
        <x:v>MALLA_CORE</x:v>
      </x:c>
      <x:c r="D28" s="26" t="n">
        <x:v>5</x:v>
      </x:c>
      <x:c r="E28" s="26" t="n">
        <x:v>2</x:v>
      </x:c>
      <x:c r="F28" s="26" t="str">
        <x:v>F0302</x:v>
      </x:c>
      <x:c r="G28" s="26" t="str">
        <x:v>Bioquímica y metabolismo</x:v>
      </x:c>
      <x:c r="H28" s="26" t="str"/>
      <x:c r="I28" s="26" t="str">
        <x:v>N1</x:v>
      </x:c>
      <x:c r="J28" s="26" t="str">
        <x:v>Alta</x:v>
      </x:c>
      <x:c r="K28" s="26" t="str">
        <x:v>APROBADO</x:v>
      </x:c>
      <x:c r="L28" s="26" t="str">
        <x:v>Bioquímica explícita.</x:v>
      </x:c>
      <x:c r="M28" s="26" t="str">
        <x:v>Sí</x:v>
      </x:c>
      <x:c r="N28" s="26" t="str">
        <x:v>No</x:v>
      </x:c>
      <x:c r="O28" s="26" t="str">
        <x:v>No</x:v>
      </x:c>
      <x:c r="P28" s="26" t="str">
        <x:v>EPN_AGRO_F002</x:v>
      </x:c>
    </x:row>
    <x:row r="29">
      <x:c r="A29" s="26" t="str">
        <x:v>AGRD553</x:v>
      </x:c>
      <x:c r="B29" s="26" t="str">
        <x:v>Introducción a la Producción Vegetal</x:v>
      </x:c>
      <x:c r="C29" s="26" t="str">
        <x:v>MALLA_CORE</x:v>
      </x:c>
      <x:c r="D29" s="26" t="n">
        <x:v>5</x:v>
      </x:c>
      <x:c r="E29" s="26" t="n">
        <x:v>3</x:v>
      </x:c>
      <x:c r="F29" s="26" t="str">
        <x:v>F1001</x:v>
      </x:c>
      <x:c r="G29" s="26" t="str">
        <x:v>Producción vegetal y fitotecnia</x:v>
      </x:c>
      <x:c r="H29" s="26" t="str"/>
      <x:c r="I29" s="26" t="str">
        <x:v>N0</x:v>
      </x:c>
      <x:c r="J29" s="26" t="str">
        <x:v>Alta</x:v>
      </x:c>
      <x:c r="K29" s="26" t="str">
        <x:v>APROBADO</x:v>
      </x:c>
      <x:c r="L29" s="26" t="str">
        <x:v>Introducción a producción vegetal.</x:v>
      </x:c>
      <x:c r="M29" s="26" t="str">
        <x:v>Sí</x:v>
      </x:c>
      <x:c r="N29" s="26" t="str">
        <x:v>No</x:v>
      </x:c>
      <x:c r="O29" s="26" t="str">
        <x:v>No</x:v>
      </x:c>
      <x:c r="P29" s="26" t="str">
        <x:v>EPN_AGRO_F002</x:v>
      </x:c>
    </x:row>
    <x:row r="30">
      <x:c r="A30" s="26" t="str">
        <x:v>AGRD563</x:v>
      </x:c>
      <x:c r="B30" s="26" t="str">
        <x:v>Introducción a la Producción Animal</x:v>
      </x:c>
      <x:c r="C30" s="26" t="str">
        <x:v>MALLA_CORE</x:v>
      </x:c>
      <x:c r="D30" s="26" t="n">
        <x:v>5</x:v>
      </x:c>
      <x:c r="E30" s="26" t="n">
        <x:v>3</x:v>
      </x:c>
      <x:c r="F30" s="26" t="str">
        <x:v>F1002</x:v>
      </x:c>
      <x:c r="G30" s="26" t="str">
        <x:v>Producción animal y zootecnia</x:v>
      </x:c>
      <x:c r="H30" s="26" t="str"/>
      <x:c r="I30" s="26" t="str">
        <x:v>N0</x:v>
      </x:c>
      <x:c r="J30" s="26" t="str">
        <x:v>Alta</x:v>
      </x:c>
      <x:c r="K30" s="26" t="str">
        <x:v>APROBADO</x:v>
      </x:c>
      <x:c r="L30" s="26" t="str">
        <x:v>Introducción a producción animal.</x:v>
      </x:c>
      <x:c r="M30" s="26" t="str">
        <x:v>Sí</x:v>
      </x:c>
      <x:c r="N30" s="26" t="str">
        <x:v>No</x:v>
      </x:c>
      <x:c r="O30" s="26" t="str">
        <x:v>No</x:v>
      </x:c>
      <x:c r="P30" s="26" t="str">
        <x:v>EPN_AGRO_F002</x:v>
      </x:c>
    </x:row>
    <x:row r="31">
      <x:c r="A31" s="26" t="str">
        <x:v>AGRD613</x:v>
      </x:c>
      <x:c r="B31" s="26" t="str">
        <x:v>Operaciones Unitarias Agroindustriales</x:v>
      </x:c>
      <x:c r="C31" s="26" t="str">
        <x:v>MALLA_CORE</x:v>
      </x:c>
      <x:c r="D31" s="26" t="n">
        <x:v>6</x:v>
      </x:c>
      <x:c r="E31" s="26" t="n">
        <x:v>3</x:v>
      </x:c>
      <x:c r="F31" s="26" t="str">
        <x:v>F0502</x:v>
      </x:c>
      <x:c r="G31" s="26" t="str">
        <x:v>Operaciones unitarias generales</x:v>
      </x:c>
      <x:c r="H31" s="26" t="str"/>
      <x:c r="I31" s="26" t="str">
        <x:v>N2</x:v>
      </x:c>
      <x:c r="J31" s="26" t="str">
        <x:v>Alta</x:v>
      </x:c>
      <x:c r="K31" s="26" t="str">
        <x:v>APROBADO</x:v>
      </x:c>
      <x:c r="L31" s="26" t="str">
        <x:v>Operaciones unitarias agroindustriales.</x:v>
      </x:c>
      <x:c r="M31" s="26" t="str">
        <x:v>Sí</x:v>
      </x:c>
      <x:c r="N31" s="26" t="str">
        <x:v>No</x:v>
      </x:c>
      <x:c r="O31" s="26" t="str">
        <x:v>No</x:v>
      </x:c>
      <x:c r="P31" s="26" t="str">
        <x:v>EPN_AGRO_F002</x:v>
      </x:c>
    </x:row>
    <x:row r="32">
      <x:c r="A32" s="26" t="str">
        <x:v>AGRD623</x:v>
      </x:c>
      <x:c r="B32" s="26" t="str">
        <x:v>Microbiología Industrial y de Alimentos</x:v>
      </x:c>
      <x:c r="C32" s="26" t="str">
        <x:v>MALLA_CORE</x:v>
      </x:c>
      <x:c r="D32" s="26" t="n">
        <x:v>6</x:v>
      </x:c>
      <x:c r="E32" s="26" t="n">
        <x:v>3</x:v>
      </x:c>
      <x:c r="F32" s="26" t="str">
        <x:v>F0304</x:v>
      </x:c>
      <x:c r="G32" s="26" t="str">
        <x:v>Microbiología alimentaria e industrial</x:v>
      </x:c>
      <x:c r="H32" s="26" t="str"/>
      <x:c r="I32" s="26" t="str">
        <x:v>N2</x:v>
      </x:c>
      <x:c r="J32" s="26" t="str">
        <x:v>Alta</x:v>
      </x:c>
      <x:c r="K32" s="26" t="str">
        <x:v>APROBADO</x:v>
      </x:c>
      <x:c r="L32" s="26" t="str">
        <x:v>Microbiología industrial y de alimentos.</x:v>
      </x:c>
      <x:c r="M32" s="26" t="str">
        <x:v>Sí</x:v>
      </x:c>
      <x:c r="N32" s="26" t="str">
        <x:v>No</x:v>
      </x:c>
      <x:c r="O32" s="26" t="str">
        <x:v>No</x:v>
      </x:c>
      <x:c r="P32" s="26" t="str">
        <x:v>EPN_AGRO_F002</x:v>
      </x:c>
    </x:row>
    <x:row r="33">
      <x:c r="A33" s="26" t="str">
        <x:v>AGRD633</x:v>
      </x:c>
      <x:c r="B33" s="26" t="str">
        <x:v>Producción Vegetal</x:v>
      </x:c>
      <x:c r="C33" s="26" t="str">
        <x:v>MALLA_CORE</x:v>
      </x:c>
      <x:c r="D33" s="26" t="n">
        <x:v>6</x:v>
      </x:c>
      <x:c r="E33" s="26" t="n">
        <x:v>3</x:v>
      </x:c>
      <x:c r="F33" s="26" t="str">
        <x:v>F1001</x:v>
      </x:c>
      <x:c r="G33" s="26" t="str">
        <x:v>Producción vegetal y fitotecnia</x:v>
      </x:c>
      <x:c r="H33" s="26" t="str"/>
      <x:c r="I33" s="26" t="str">
        <x:v>N2</x:v>
      </x:c>
      <x:c r="J33" s="26" t="str">
        <x:v>Alta</x:v>
      </x:c>
      <x:c r="K33" s="26" t="str">
        <x:v>APROBADO</x:v>
      </x:c>
      <x:c r="L33" s="26" t="str">
        <x:v>Producción vegetal.</x:v>
      </x:c>
      <x:c r="M33" s="26" t="str">
        <x:v>Sí</x:v>
      </x:c>
      <x:c r="N33" s="26" t="str">
        <x:v>No</x:v>
      </x:c>
      <x:c r="O33" s="26" t="str">
        <x:v>No</x:v>
      </x:c>
      <x:c r="P33" s="26" t="str">
        <x:v>EPN_AGRO_F002</x:v>
      </x:c>
    </x:row>
    <x:row r="34">
      <x:c r="A34" s="26" t="str">
        <x:v>AGRD643</x:v>
      </x:c>
      <x:c r="B34" s="26" t="str">
        <x:v>Producción Animal</x:v>
      </x:c>
      <x:c r="C34" s="26" t="str">
        <x:v>MALLA_CORE</x:v>
      </x:c>
      <x:c r="D34" s="26" t="n">
        <x:v>6</x:v>
      </x:c>
      <x:c r="E34" s="26" t="n">
        <x:v>3</x:v>
      </x:c>
      <x:c r="F34" s="26" t="str">
        <x:v>F1002</x:v>
      </x:c>
      <x:c r="G34" s="26" t="str">
        <x:v>Producción animal y zootecnia</x:v>
      </x:c>
      <x:c r="H34" s="26" t="str"/>
      <x:c r="I34" s="26" t="str">
        <x:v>N2</x:v>
      </x:c>
      <x:c r="J34" s="26" t="str">
        <x:v>Alta</x:v>
      </x:c>
      <x:c r="K34" s="26" t="str">
        <x:v>APROBADO</x:v>
      </x:c>
      <x:c r="L34" s="26" t="str">
        <x:v>Producción animal.</x:v>
      </x:c>
      <x:c r="M34" s="26" t="str">
        <x:v>Sí</x:v>
      </x:c>
      <x:c r="N34" s="26" t="str">
        <x:v>No</x:v>
      </x:c>
      <x:c r="O34" s="26" t="str">
        <x:v>No</x:v>
      </x:c>
      <x:c r="P34" s="26" t="str">
        <x:v>EPN_AGRO_F002</x:v>
      </x:c>
    </x:row>
    <x:row r="35">
      <x:c r="A35" s="26" t="str">
        <x:v>ADMD511</x:v>
      </x:c>
      <x:c r="B35" s="26" t="str">
        <x:v>Gestión Organizacional</x:v>
      </x:c>
      <x:c r="C35" s="26" t="str">
        <x:v>MALLA_CORE</x:v>
      </x:c>
      <x:c r="D35" s="26" t="n">
        <x:v>6</x:v>
      </x:c>
      <x:c r="E35" s="26" t="n">
        <x:v>1</x:v>
      </x:c>
      <x:c r="F35" s="26" t="str">
        <x:v>F1202</x:v>
      </x:c>
      <x:c r="G35" s="26" t="str">
        <x:v>Administración y gestión empresarial</x:v>
      </x:c>
      <x:c r="H35" s="26" t="str"/>
      <x:c r="I35" s="26" t="str">
        <x:v>N1</x:v>
      </x:c>
      <x:c r="J35" s="26" t="str">
        <x:v>Alta</x:v>
      </x:c>
      <x:c r="K35" s="26" t="str">
        <x:v>APROBADO</x:v>
      </x:c>
      <x:c r="L35" s="26" t="str">
        <x:v>Gestión organizacional.</x:v>
      </x:c>
      <x:c r="M35" s="26" t="str">
        <x:v>Sí</x:v>
      </x:c>
      <x:c r="N35" s="26" t="str">
        <x:v>No</x:v>
      </x:c>
      <x:c r="O35" s="26" t="str">
        <x:v>No</x:v>
      </x:c>
      <x:c r="P35" s="26" t="str">
        <x:v>EPN_AGRO_F002</x:v>
      </x:c>
    </x:row>
    <x:row r="36">
      <x:c r="A36" s="26" t="str">
        <x:v>CSHD211</x:v>
      </x:c>
      <x:c r="B36" s="26" t="str">
        <x:v>Análisis Socioeconómico y Político del Ecuador</x:v>
      </x:c>
      <x:c r="C36" s="26" t="str">
        <x:v>MALLA_CORE</x:v>
      </x:c>
      <x:c r="D36" s="26" t="n">
        <x:v>6</x:v>
      </x:c>
      <x:c r="E36" s="26" t="n">
        <x:v>1</x:v>
      </x:c>
      <x:c r="F36" s="26" t="str">
        <x:v>F1201</x:v>
      </x:c>
      <x:c r="G36" s="26" t="str">
        <x:v>Economía y sistemas agroalimentarios</x:v>
      </x:c>
      <x:c r="H36" s="26" t="str">
        <x:v>F1606</x:v>
      </x:c>
      <x:c r="I36" s="26" t="str">
        <x:v>N1</x:v>
      </x:c>
      <x:c r="J36" s="26" t="str">
        <x:v>Media</x:v>
      </x:c>
      <x:c r="K36" s="26" t="str">
        <x:v>APROBADO</x:v>
      </x:c>
      <x:c r="L36" s="26" t="str">
        <x:v>Análisis socioeconómico; secundaria formación general.</x:v>
      </x:c>
      <x:c r="M36" s="26" t="str">
        <x:v>Sí</x:v>
      </x:c>
      <x:c r="N36" s="26" t="str">
        <x:v>No</x:v>
      </x:c>
      <x:c r="O36" s="26" t="str">
        <x:v>No</x:v>
      </x:c>
      <x:c r="P36" s="26" t="str">
        <x:v>EPN_AGRO_F002</x:v>
      </x:c>
    </x:row>
    <x:row r="37">
      <x:c r="A37" s="26" t="str">
        <x:v>CSHD300</x:v>
      </x:c>
      <x:c r="B37" s="26" t="str">
        <x:v>Asignatura de Artes y Humanidades</x:v>
      </x:c>
      <x:c r="C37" s="26" t="str">
        <x:v>MALLA_CORE</x:v>
      </x:c>
      <x:c r="D37" s="26" t="n">
        <x:v>6</x:v>
      </x:c>
      <x:c r="E37" s="26" t="n">
        <x:v>1</x:v>
      </x:c>
      <x:c r="F37" s="26" t="str">
        <x:v>F1606</x:v>
      </x:c>
      <x:c r="G37" s="26" t="str">
        <x:v>Humanidades, deporte y formación general</x:v>
      </x:c>
      <x:c r="H37" s="26" t="str"/>
      <x:c r="I37" s="26" t="str">
        <x:v>N1</x:v>
      </x:c>
      <x:c r="J37" s="26" t="str">
        <x:v>Alta</x:v>
      </x:c>
      <x:c r="K37" s="26" t="str">
        <x:v>APROBADO</x:v>
      </x:c>
      <x:c r="L37" s="26" t="str">
        <x:v>Artes y humanidades.</x:v>
      </x:c>
      <x:c r="M37" s="26" t="str">
        <x:v>Sí</x:v>
      </x:c>
      <x:c r="N37" s="26" t="str">
        <x:v>No</x:v>
      </x:c>
      <x:c r="O37" s="26" t="str">
        <x:v>No</x:v>
      </x:c>
      <x:c r="P37" s="26" t="str">
        <x:v>EPN_AGRO_F002</x:v>
      </x:c>
    </x:row>
    <x:row r="38">
      <x:c r="A38" s="26" t="str">
        <x:v>IAQD722</x:v>
      </x:c>
      <x:c r="B38" s="26" t="str">
        <x:v>Evaluación de Impacto y Auditoría Ambiental</x:v>
      </x:c>
      <x:c r="C38" s="26" t="str">
        <x:v>MALLA_CORE</x:v>
      </x:c>
      <x:c r="D38" s="26" t="n">
        <x:v>7</x:v>
      </x:c>
      <x:c r="E38" s="26" t="n">
        <x:v>2</x:v>
      </x:c>
      <x:c r="F38" s="26" t="str">
        <x:v>F1101</x:v>
      </x:c>
      <x:c r="G38" s="26" t="str">
        <x:v>Ecología e impacto ambiental</x:v>
      </x:c>
      <x:c r="H38" s="26" t="str"/>
      <x:c r="I38" s="26" t="str">
        <x:v>N2</x:v>
      </x:c>
      <x:c r="J38" s="26" t="str">
        <x:v>Alta</x:v>
      </x:c>
      <x:c r="K38" s="26" t="str">
        <x:v>APROBADO</x:v>
      </x:c>
      <x:c r="L38" s="26" t="str">
        <x:v>Impacto y auditoría ambiental.</x:v>
      </x:c>
      <x:c r="M38" s="26" t="str">
        <x:v>Sí</x:v>
      </x:c>
      <x:c r="N38" s="26" t="str">
        <x:v>No</x:v>
      </x:c>
      <x:c r="O38" s="26" t="str">
        <x:v>No</x:v>
      </x:c>
      <x:c r="P38" s="26" t="str">
        <x:v>EPN_AGRO_F002</x:v>
      </x:c>
    </x:row>
    <x:row r="39">
      <x:c r="A39" s="26" t="str">
        <x:v>AGRD723</x:v>
      </x:c>
      <x:c r="B39" s="26" t="str">
        <x:v>Bioingeniería</x:v>
      </x:c>
      <x:c r="C39" s="26" t="str">
        <x:v>MALLA_CORE</x:v>
      </x:c>
      <x:c r="D39" s="26" t="n">
        <x:v>7</x:v>
      </x:c>
      <x:c r="E39" s="26" t="n">
        <x:v>3</x:v>
      </x:c>
      <x:c r="F39" s="26" t="str">
        <x:v>F0306</x:v>
      </x:c>
      <x:c r="G39" s="26" t="str">
        <x:v>Bioprocesos y bioproducción</x:v>
      </x:c>
      <x:c r="H39" s="26" t="str">
        <x:v>F0305</x:v>
      </x:c>
      <x:c r="I39" s="26" t="str">
        <x:v>N2</x:v>
      </x:c>
      <x:c r="J39" s="26" t="str">
        <x:v>Media</x:v>
      </x:c>
      <x:c r="K39" s="26" t="str">
        <x:v>APROBADO</x:v>
      </x:c>
      <x:c r="L39" s="26" t="str">
        <x:v>Bioingeniería aplicada; bioprocesos como familia principal.</x:v>
      </x:c>
      <x:c r="M39" s="26" t="str">
        <x:v>Sí</x:v>
      </x:c>
      <x:c r="N39" s="26" t="str">
        <x:v>No</x:v>
      </x:c>
      <x:c r="O39" s="26" t="str">
        <x:v>No</x:v>
      </x:c>
      <x:c r="P39" s="26" t="str">
        <x:v>EPN_AGRO_F002</x:v>
      </x:c>
    </x:row>
    <x:row r="40">
      <x:c r="A40" s="26" t="str">
        <x:v>AGRD733</x:v>
      </x:c>
      <x:c r="B40" s="26" t="str">
        <x:v>Ingeniería de Alimentos</x:v>
      </x:c>
      <x:c r="C40" s="26" t="str">
        <x:v>MALLA_CORE</x:v>
      </x:c>
      <x:c r="D40" s="26" t="n">
        <x:v>7</x:v>
      </x:c>
      <x:c r="E40" s="26" t="n">
        <x:v>3</x:v>
      </x:c>
      <x:c r="F40" s="26" t="str">
        <x:v>F0604</x:v>
      </x:c>
      <x:c r="G40" s="26" t="str">
        <x:v>Tecnología / procesamiento general de alimentos</x:v>
      </x:c>
      <x:c r="H40" s="26" t="str"/>
      <x:c r="I40" s="26" t="str">
        <x:v>N2</x:v>
      </x:c>
      <x:c r="J40" s="26" t="str">
        <x:v>Alta</x:v>
      </x:c>
      <x:c r="K40" s="26" t="str">
        <x:v>APROBADO</x:v>
      </x:c>
      <x:c r="L40" s="26" t="str">
        <x:v>Ingeniería de alimentos / procesamiento.</x:v>
      </x:c>
      <x:c r="M40" s="26" t="str">
        <x:v>Sí</x:v>
      </x:c>
      <x:c r="N40" s="26" t="str">
        <x:v>No</x:v>
      </x:c>
      <x:c r="O40" s="26" t="str">
        <x:v>No</x:v>
      </x:c>
      <x:c r="P40" s="26" t="str">
        <x:v>EPN_AGRO_F002</x:v>
      </x:c>
    </x:row>
    <x:row r="41">
      <x:c r="A41" s="26" t="str">
        <x:v>AGRD743</x:v>
      </x:c>
      <x:c r="B41" s="26" t="str">
        <x:v>Polímeros en la Agroindustria</x:v>
      </x:c>
      <x:c r="C41" s="26" t="str">
        <x:v>MALLA_CORE</x:v>
      </x:c>
      <x:c r="D41" s="26" t="n">
        <x:v>7</x:v>
      </x:c>
      <x:c r="E41" s="26" t="n">
        <x:v>3</x:v>
      </x:c>
      <x:c r="F41" s="26" t="str">
        <x:v>NR</x:v>
      </x:c>
      <x:c r="G41" s="26" t="str">
        <x:v>NR</x:v>
      </x:c>
      <x:c r="H41" s="26" t="str"/>
      <x:c r="I41" s="26" t="str">
        <x:v>NR</x:v>
      </x:c>
      <x:c r="J41" s="26" t="str">
        <x:v>Baja</x:v>
      </x:c>
      <x:c r="K41" s="26" t="str">
        <x:v>REVISAR</x:v>
      </x:c>
      <x:c r="L41" s="26" t="str">
        <x:v>Polímeros en agroindustria no permite distinguir packaging, biomateriales o productos no alimenticios sin contenido.</x:v>
      </x:c>
      <x:c r="M41" s="26" t="str">
        <x:v>Sí</x:v>
      </x:c>
      <x:c r="N41" s="26" t="str">
        <x:v>No</x:v>
      </x:c>
      <x:c r="O41" s="26" t="str">
        <x:v>No</x:v>
      </x:c>
      <x:c r="P41" s="26" t="str">
        <x:v>EPN_AGRO_F002</x:v>
      </x:c>
    </x:row>
    <x:row r="42">
      <x:c r="A42" s="26" t="str">
        <x:v>AGRD752</x:v>
      </x:c>
      <x:c r="B42" s="26" t="str">
        <x:v>Poscosecha</x:v>
      </x:c>
      <x:c r="C42" s="26" t="str">
        <x:v>MALLA_CORE</x:v>
      </x:c>
      <x:c r="D42" s="26" t="n">
        <x:v>7</x:v>
      </x:c>
      <x:c r="E42" s="26" t="n">
        <x:v>2</x:v>
      </x:c>
      <x:c r="F42" s="26" t="str">
        <x:v>F1004</x:v>
      </x:c>
      <x:c r="G42" s="26" t="str">
        <x:v>Poscosecha y conservación de materia prima</x:v>
      </x:c>
      <x:c r="H42" s="26" t="str"/>
      <x:c r="I42" s="26" t="str">
        <x:v>N2</x:v>
      </x:c>
      <x:c r="J42" s="26" t="str">
        <x:v>Alta</x:v>
      </x:c>
      <x:c r="K42" s="26" t="str">
        <x:v>APROBADO</x:v>
      </x:c>
      <x:c r="L42" s="26" t="str">
        <x:v>Poscosecha explícita.</x:v>
      </x:c>
      <x:c r="M42" s="26" t="str">
        <x:v>Sí</x:v>
      </x:c>
      <x:c r="N42" s="26" t="str">
        <x:v>No</x:v>
      </x:c>
      <x:c r="O42" s="26" t="str">
        <x:v>No</x:v>
      </x:c>
      <x:c r="P42" s="26" t="str">
        <x:v>EPN_AGRO_F002</x:v>
      </x:c>
    </x:row>
    <x:row r="43">
      <x:c r="A43" s="26" t="str">
        <x:v>AGRD761</x:v>
      </x:c>
      <x:c r="B43" s="26" t="str">
        <x:v>Agrocomercio</x:v>
      </x:c>
      <x:c r="C43" s="26" t="str">
        <x:v>MALLA_CORE</x:v>
      </x:c>
      <x:c r="D43" s="26" t="n">
        <x:v>7</x:v>
      </x:c>
      <x:c r="E43" s="26" t="n">
        <x:v>1</x:v>
      </x:c>
      <x:c r="F43" s="26" t="str">
        <x:v>F1204</x:v>
      </x:c>
      <x:c r="G43" s="26" t="str">
        <x:v>Marketing y comercialización</x:v>
      </x:c>
      <x:c r="H43" s="26" t="str"/>
      <x:c r="I43" s="26" t="str">
        <x:v>N2</x:v>
      </x:c>
      <x:c r="J43" s="26" t="str">
        <x:v>Alta</x:v>
      </x:c>
      <x:c r="K43" s="26" t="str">
        <x:v>APROBADO</x:v>
      </x:c>
      <x:c r="L43" s="26" t="str">
        <x:v>Agrocomercio / comercialización.</x:v>
      </x:c>
      <x:c r="M43" s="26" t="str">
        <x:v>Sí</x:v>
      </x:c>
      <x:c r="N43" s="26" t="str">
        <x:v>No</x:v>
      </x:c>
      <x:c r="O43" s="26" t="str">
        <x:v>No</x:v>
      </x:c>
      <x:c r="P43" s="26" t="str">
        <x:v>EPN_AGRO_F002</x:v>
      </x:c>
    </x:row>
    <x:row r="44">
      <x:c r="A44" s="26" t="str">
        <x:v>CSHD400</x:v>
      </x:c>
      <x:c r="B44" s="26" t="str">
        <x:v>Asignatura de Economía y Sociedad</x:v>
      </x:c>
      <x:c r="C44" s="26" t="str">
        <x:v>MALLA_CORE</x:v>
      </x:c>
      <x:c r="D44" s="26" t="n">
        <x:v>7</x:v>
      </x:c>
      <x:c r="E44" s="26" t="n">
        <x:v>1</x:v>
      </x:c>
      <x:c r="F44" s="26" t="str">
        <x:v>F1201</x:v>
      </x:c>
      <x:c r="G44" s="26" t="str">
        <x:v>Economía y sistemas agroalimentarios</x:v>
      </x:c>
      <x:c r="H44" s="26" t="str">
        <x:v>F1606</x:v>
      </x:c>
      <x:c r="I44" s="26" t="str">
        <x:v>N1</x:v>
      </x:c>
      <x:c r="J44" s="26" t="str">
        <x:v>Media</x:v>
      </x:c>
      <x:c r="K44" s="26" t="str">
        <x:v>APROBADO</x:v>
      </x:c>
      <x:c r="L44" s="26" t="str">
        <x:v>Economía y sociedad; economía como principal.</x:v>
      </x:c>
      <x:c r="M44" s="26" t="str">
        <x:v>Sí</x:v>
      </x:c>
      <x:c r="N44" s="26" t="str">
        <x:v>No</x:v>
      </x:c>
      <x:c r="O44" s="26" t="str">
        <x:v>No</x:v>
      </x:c>
      <x:c r="P44" s="26" t="str">
        <x:v>EPN_AGRO_F002</x:v>
      </x:c>
    </x:row>
    <x:row r="45">
      <x:c r="A45" s="26" t="str">
        <x:v>AGRD814</x:v>
      </x:c>
      <x:c r="B45" s="26" t="str">
        <x:v>Diseño de Plantas Agroindustriales</x:v>
      </x:c>
      <x:c r="C45" s="26" t="str">
        <x:v>MALLA_CORE</x:v>
      </x:c>
      <x:c r="D45" s="26" t="n">
        <x:v>8</x:v>
      </x:c>
      <x:c r="E45" s="26" t="n">
        <x:v>4</x:v>
      </x:c>
      <x:c r="F45" s="26" t="str">
        <x:v>F0901</x:v>
      </x:c>
      <x:c r="G45" s="26" t="str">
        <x:v>Diseño de plantas e industrias alimentarias</x:v>
      </x:c>
      <x:c r="H45" s="26" t="str"/>
      <x:c r="I45" s="26" t="str">
        <x:v>N3</x:v>
      </x:c>
      <x:c r="J45" s="26" t="str">
        <x:v>Alta</x:v>
      </x:c>
      <x:c r="K45" s="26" t="str">
        <x:v>APROBADO</x:v>
      </x:c>
      <x:c r="L45" s="26" t="str">
        <x:v>Diseño de plantas agroindustriales.</x:v>
      </x:c>
      <x:c r="M45" s="26" t="str">
        <x:v>Sí</x:v>
      </x:c>
      <x:c r="N45" s="26" t="str">
        <x:v>No</x:v>
      </x:c>
      <x:c r="O45" s="26" t="str">
        <x:v>No</x:v>
      </x:c>
      <x:c r="P45" s="26" t="str">
        <x:v>EPN_AGRO_F002</x:v>
      </x:c>
    </x:row>
    <x:row r="46">
      <x:c r="A46" s="26" t="str">
        <x:v>AGRD822</x:v>
      </x:c>
      <x:c r="B46" s="26" t="str">
        <x:v>Simulación de Procesos Agroindustriales</x:v>
      </x:c>
      <x:c r="C46" s="26" t="str">
        <x:v>MALLA_CORE</x:v>
      </x:c>
      <x:c r="D46" s="26" t="n">
        <x:v>8</x:v>
      </x:c>
      <x:c r="E46" s="26" t="n">
        <x:v>2</x:v>
      </x:c>
      <x:c r="F46" s="26" t="str">
        <x:v>F0510</x:v>
      </x:c>
      <x:c r="G46" s="26" t="str">
        <x:v>Modelización, simulación y optimización de procesos</x:v>
      </x:c>
      <x:c r="H46" s="26" t="str"/>
      <x:c r="I46" s="26" t="str">
        <x:v>N3</x:v>
      </x:c>
      <x:c r="J46" s="26" t="str">
        <x:v>Alta</x:v>
      </x:c>
      <x:c r="K46" s="26" t="str">
        <x:v>APROBADO</x:v>
      </x:c>
      <x:c r="L46" s="26" t="str">
        <x:v>Simulación de procesos.</x:v>
      </x:c>
      <x:c r="M46" s="26" t="str">
        <x:v>Sí</x:v>
      </x:c>
      <x:c r="N46" s="26" t="str">
        <x:v>No</x:v>
      </x:c>
      <x:c r="O46" s="26" t="str">
        <x:v>No</x:v>
      </x:c>
      <x:c r="P46" s="26" t="str">
        <x:v>EPN_AGRO_F002</x:v>
      </x:c>
    </x:row>
    <x:row r="47">
      <x:c r="A47" s="26" t="str">
        <x:v>TITD101</x:v>
      </x:c>
      <x:c r="B47" s="26" t="str">
        <x:v>Diseño de Trabajo de Integración Curricular / Preparación Examen de Carácter Complexivo</x:v>
      </x:c>
      <x:c r="C47" s="26" t="str">
        <x:v>MALLA_CORE</x:v>
      </x:c>
      <x:c r="D47" s="26" t="n">
        <x:v>8</x:v>
      </x:c>
      <x:c r="E47" s="26" t="n">
        <x:v>1</x:v>
      </x:c>
      <x:c r="F47" s="26" t="str">
        <x:v>F1501</x:v>
      </x:c>
      <x:c r="G47" s="26" t="str">
        <x:v>Proyecto de ingeniería / oficina técnica</x:v>
      </x:c>
      <x:c r="H47" s="26" t="str"/>
      <x:c r="I47" s="26" t="str">
        <x:v>N3</x:v>
      </x:c>
      <x:c r="J47" s="26" t="str">
        <x:v>Alta</x:v>
      </x:c>
      <x:c r="K47" s="26" t="str">
        <x:v>APROBADO</x:v>
      </x:c>
      <x:c r="L47" s="26" t="str">
        <x:v>Diseño/preparación del trabajo de integración.</x:v>
      </x:c>
      <x:c r="M47" s="26" t="str">
        <x:v>Sí</x:v>
      </x:c>
      <x:c r="N47" s="26" t="str">
        <x:v>No</x:v>
      </x:c>
      <x:c r="O47" s="26" t="str">
        <x:v>No</x:v>
      </x:c>
      <x:c r="P47" s="26" t="str">
        <x:v>EPN_AGRO_F002</x:v>
      </x:c>
    </x:row>
    <x:row r="48">
      <x:c r="A48" s="26" t="str">
        <x:v>AGRD842</x:v>
      </x:c>
      <x:c r="B48" s="26" t="str">
        <x:v>Aseguramiento Estadístico de la Calidad</x:v>
      </x:c>
      <x:c r="C48" s="26" t="str">
        <x:v>MALLA_CORE</x:v>
      </x:c>
      <x:c r="D48" s="26" t="n">
        <x:v>8</x:v>
      </x:c>
      <x:c r="E48" s="26" t="n">
        <x:v>2</x:v>
      </x:c>
      <x:c r="F48" s="26" t="str">
        <x:v>F0803</x:v>
      </x:c>
      <x:c r="G48" s="26" t="str">
        <x:v>Gestión y aseguramiento de la calidad</x:v>
      </x:c>
      <x:c r="H48" s="26" t="str">
        <x:v>F0104</x:v>
      </x:c>
      <x:c r="I48" s="26" t="str">
        <x:v>N2</x:v>
      </x:c>
      <x:c r="J48" s="26" t="str">
        <x:v>Alta</x:v>
      </x:c>
      <x:c r="K48" s="26" t="str">
        <x:v>APROBADO</x:v>
      </x:c>
      <x:c r="L48" s="26" t="str">
        <x:v>Aseguramiento estadístico de la calidad.</x:v>
      </x:c>
      <x:c r="M48" s="26" t="str">
        <x:v>Sí</x:v>
      </x:c>
      <x:c r="N48" s="26" t="str">
        <x:v>No</x:v>
      </x:c>
      <x:c r="O48" s="26" t="str">
        <x:v>No</x:v>
      </x:c>
      <x:c r="P48" s="26" t="str">
        <x:v>EPN_AGRO_F002</x:v>
      </x:c>
    </x:row>
    <x:row r="49">
      <x:c r="A49" s="26" t="str">
        <x:v>AGRD800</x:v>
      </x:c>
      <x:c r="B49" s="26" t="str">
        <x:v>Itinerario Básico</x:v>
      </x:c>
      <x:c r="C49" s="26" t="str">
        <x:v>MALLA_CORE</x:v>
      </x:c>
      <x:c r="D49" s="26" t="n">
        <x:v>8</x:v>
      </x:c>
      <x:c r="E49" s="26" t="n">
        <x:v>4</x:v>
      </x:c>
      <x:c r="F49" s="26" t="str">
        <x:v>F0002</x:v>
      </x:c>
      <x:c r="G49" s="26" t="str">
        <x:v>Especialización / parcours no desagregado</x:v>
      </x:c>
      <x:c r="H49" s="26" t="str"/>
      <x:c r="I49" s="26" t="str">
        <x:v>NR</x:v>
      </x:c>
      <x:c r="J49" s="26" t="str">
        <x:v>Alta</x:v>
      </x:c>
      <x:c r="K49" s="26" t="str">
        <x:v>APROBADO</x:v>
      </x:c>
      <x:c r="L49" s="26" t="str">
        <x:v>Contenedor de especialización; no atribuir contenido temático.</x:v>
      </x:c>
      <x:c r="M49" s="26" t="str">
        <x:v>Sí</x:v>
      </x:c>
      <x:c r="N49" s="26" t="str">
        <x:v>No</x:v>
      </x:c>
      <x:c r="O49" s="26" t="str">
        <x:v>No</x:v>
      </x:c>
      <x:c r="P49" s="26" t="str">
        <x:v>EPN_AGRO_F002</x:v>
      </x:c>
    </x:row>
    <x:row r="50">
      <x:c r="A50" s="26" t="str">
        <x:v>ADMD711</x:v>
      </x:c>
      <x:c r="B50" s="26" t="str">
        <x:v>Ingeniería Financiera</x:v>
      </x:c>
      <x:c r="C50" s="26" t="str">
        <x:v>MALLA_CORE</x:v>
      </x:c>
      <x:c r="D50" s="26" t="n">
        <x:v>8</x:v>
      </x:c>
      <x:c r="E50" s="26" t="n">
        <x:v>1</x:v>
      </x:c>
      <x:c r="F50" s="26" t="str">
        <x:v>F1203</x:v>
      </x:c>
      <x:c r="G50" s="26" t="str">
        <x:v>Costos, valoración y finanzas</x:v>
      </x:c>
      <x:c r="H50" s="26" t="str"/>
      <x:c r="I50" s="26" t="str">
        <x:v>N2</x:v>
      </x:c>
      <x:c r="J50" s="26" t="str">
        <x:v>Alta</x:v>
      </x:c>
      <x:c r="K50" s="26" t="str">
        <x:v>APROBADO</x:v>
      </x:c>
      <x:c r="L50" s="26" t="str">
        <x:v>Ingeniería financiera.</x:v>
      </x:c>
      <x:c r="M50" s="26" t="str">
        <x:v>Sí</x:v>
      </x:c>
      <x:c r="N50" s="26" t="str">
        <x:v>No</x:v>
      </x:c>
      <x:c r="O50" s="26" t="str">
        <x:v>No</x:v>
      </x:c>
      <x:c r="P50" s="26" t="str">
        <x:v>EPN_AGRO_F002</x:v>
      </x:c>
    </x:row>
    <x:row r="51">
      <x:c r="A51" s="26" t="str">
        <x:v>ADMD611</x:v>
      </x:c>
      <x:c r="B51" s="26" t="str">
        <x:v>Gestión de Procesos y Calidad</x:v>
      </x:c>
      <x:c r="C51" s="26" t="str">
        <x:v>MALLA_CORE</x:v>
      </x:c>
      <x:c r="D51" s="26" t="n">
        <x:v>8</x:v>
      </x:c>
      <x:c r="E51" s="26" t="n">
        <x:v>1</x:v>
      </x:c>
      <x:c r="F51" s="26" t="str">
        <x:v>F0803</x:v>
      </x:c>
      <x:c r="G51" s="26" t="str">
        <x:v>Gestión y aseguramiento de la calidad</x:v>
      </x:c>
      <x:c r="H51" s="26" t="str">
        <x:v>F1202</x:v>
      </x:c>
      <x:c r="I51" s="26" t="str">
        <x:v>N2</x:v>
      </x:c>
      <x:c r="J51" s="26" t="str">
        <x:v>Alta</x:v>
      </x:c>
      <x:c r="K51" s="26" t="str">
        <x:v>APROBADO</x:v>
      </x:c>
      <x:c r="L51" s="26" t="str">
        <x:v>Gestión de procesos y calidad; calidad como principal.</x:v>
      </x:c>
      <x:c r="M51" s="26" t="str">
        <x:v>Sí</x:v>
      </x:c>
      <x:c r="N51" s="26" t="str">
        <x:v>No</x:v>
      </x:c>
      <x:c r="O51" s="26" t="str">
        <x:v>No</x:v>
      </x:c>
      <x:c r="P51" s="26" t="str">
        <x:v>EPN_AGRO_F002</x:v>
      </x:c>
    </x:row>
    <x:row r="52">
      <x:c r="A52" s="26" t="str">
        <x:v>AGRD900</x:v>
      </x:c>
      <x:c r="B52" s="26" t="str">
        <x:v>Itinerario Avanzado</x:v>
      </x:c>
      <x:c r="C52" s="26" t="str">
        <x:v>MALLA_CORE</x:v>
      </x:c>
      <x:c r="D52" s="26" t="n">
        <x:v>9</x:v>
      </x:c>
      <x:c r="E52" s="26" t="n">
        <x:v>3</x:v>
      </x:c>
      <x:c r="F52" s="26" t="str">
        <x:v>F0002</x:v>
      </x:c>
      <x:c r="G52" s="26" t="str">
        <x:v>Especialización / parcours no desagregado</x:v>
      </x:c>
      <x:c r="H52" s="26" t="str"/>
      <x:c r="I52" s="26" t="str">
        <x:v>NR</x:v>
      </x:c>
      <x:c r="J52" s="26" t="str">
        <x:v>Alta</x:v>
      </x:c>
      <x:c r="K52" s="26" t="str">
        <x:v>APROBADO</x:v>
      </x:c>
      <x:c r="L52" s="26" t="str">
        <x:v>Contenedor de especialización; no atribuir contenido temático.</x:v>
      </x:c>
      <x:c r="M52" s="26" t="str">
        <x:v>Sí</x:v>
      </x:c>
      <x:c r="N52" s="26" t="str">
        <x:v>No</x:v>
      </x:c>
      <x:c r="O52" s="26" t="str">
        <x:v>No</x:v>
      </x:c>
      <x:c r="P52" s="26" t="str">
        <x:v>EPN_AGRO_F002</x:v>
      </x:c>
    </x:row>
    <x:row r="53">
      <x:c r="A53" s="26" t="str">
        <x:v>PSCD202</x:v>
      </x:c>
      <x:c r="B53" s="26" t="str">
        <x:v>Prácticas de Servicio Comunitario</x:v>
      </x:c>
      <x:c r="C53" s="26" t="str">
        <x:v>MALLA_CORE</x:v>
      </x:c>
      <x:c r="D53" s="26" t="n">
        <x:v>9</x:v>
      </x:c>
      <x:c r="E53" s="26" t="n">
        <x:v>2</x:v>
      </x:c>
      <x:c r="F53" s="26" t="str">
        <x:v>NR</x:v>
      </x:c>
      <x:c r="G53" s="26" t="str">
        <x:v>NR</x:v>
      </x:c>
      <x:c r="H53" s="26" t="str"/>
      <x:c r="I53" s="26" t="str">
        <x:v>NR</x:v>
      </x:c>
      <x:c r="J53" s="26" t="str">
        <x:v>Baja</x:v>
      </x:c>
      <x:c r="K53" s="26" t="str">
        <x:v>REVISAR</x:v>
      </x:c>
      <x:c r="L53" s="26" t="str">
        <x:v>Servicio comunitario no posee familia específica en AGRO-NORM-v1.0.</x:v>
      </x:c>
      <x:c r="M53" s="26" t="str">
        <x:v>Sí</x:v>
      </x:c>
      <x:c r="N53" s="26" t="str">
        <x:v>No</x:v>
      </x:c>
      <x:c r="O53" s="26" t="str">
        <x:v>No</x:v>
      </x:c>
      <x:c r="P53" s="26" t="str">
        <x:v>EPN_AGRO_F002</x:v>
      </x:c>
    </x:row>
    <x:row r="54">
      <x:c r="A54" s="26" t="str">
        <x:v>PRLD105</x:v>
      </x:c>
      <x:c r="B54" s="26" t="str">
        <x:v>Prácticas Laborales</x:v>
      </x:c>
      <x:c r="C54" s="26" t="str">
        <x:v>MALLA_CORE</x:v>
      </x:c>
      <x:c r="D54" s="26" t="n">
        <x:v>9</x:v>
      </x:c>
      <x:c r="E54" s="26" t="n">
        <x:v>5</x:v>
      </x:c>
      <x:c r="F54" s="26" t="str">
        <x:v>F1505</x:v>
      </x:c>
      <x:c r="G54" s="26" t="str">
        <x:v>Práctica externa / internship / stage</x:v>
      </x:c>
      <x:c r="H54" s="26" t="str"/>
      <x:c r="I54" s="26" t="str">
        <x:v>N3</x:v>
      </x:c>
      <x:c r="J54" s="26" t="str">
        <x:v>Alta</x:v>
      </x:c>
      <x:c r="K54" s="26" t="str">
        <x:v>APROBADO</x:v>
      </x:c>
      <x:c r="L54" s="26" t="str">
        <x:v>Práctica laboral externa.</x:v>
      </x:c>
      <x:c r="M54" s="26" t="str">
        <x:v>Sí</x:v>
      </x:c>
      <x:c r="N54" s="26" t="str">
        <x:v>No</x:v>
      </x:c>
      <x:c r="O54" s="26" t="str">
        <x:v>No</x:v>
      </x:c>
      <x:c r="P54" s="26" t="str">
        <x:v>EPN_AGRO_F002</x:v>
      </x:c>
    </x:row>
    <x:row r="55">
      <x:c r="A55" s="26" t="str">
        <x:v>TITD201</x:v>
      </x:c>
      <x:c r="B55" s="26" t="str">
        <x:v>Trabajo de Integración Curricular / Examen de Carácter Complexivo</x:v>
      </x:c>
      <x:c r="C55" s="26" t="str">
        <x:v>MALLA_CORE</x:v>
      </x:c>
      <x:c r="D55" s="26" t="n">
        <x:v>9</x:v>
      </x:c>
      <x:c r="E55" s="26" t="n">
        <x:v>5</x:v>
      </x:c>
      <x:c r="F55" s="26" t="str">
        <x:v>F1502</x:v>
      </x:c>
      <x:c r="G55" s="26" t="str">
        <x:v>Proyecto integrador / capstone</x:v>
      </x:c>
      <x:c r="H55" s="26" t="str">
        <x:v>F1503</x:v>
      </x:c>
      <x:c r="I55" s="26" t="str">
        <x:v>N3</x:v>
      </x:c>
      <x:c r="J55" s="26" t="str">
        <x:v>Media</x:v>
      </x:c>
      <x:c r="K55" s="26" t="str">
        <x:v>APROBADO</x:v>
      </x:c>
      <x:c r="L55" s="26" t="str">
        <x:v>Integración curricular/capstone; TFG como secundaria por modalidad alternativa.</x:v>
      </x:c>
      <x:c r="M55" s="26" t="str">
        <x:v>Sí</x:v>
      </x:c>
      <x:c r="N55" s="26" t="str">
        <x:v>No</x:v>
      </x:c>
      <x:c r="O55" s="26" t="str">
        <x:v>No</x:v>
      </x:c>
      <x:c r="P55" s="26" t="str">
        <x:v>EPN_AGRO_F002</x:v>
      </x:c>
    </x:row>
    <x:row r="56">
      <x:c r="A56" s="26" t="str">
        <x:v>AGRD801</x:v>
      </x:c>
      <x:c r="B56" s="26" t="str">
        <x:v>Tecnología de Alimentos I</x:v>
      </x:c>
      <x:c r="C56" s="26" t="str">
        <x:v>ITINERARIO_OPCION</x:v>
      </x:c>
      <x:c r="D56" s="26" t="n">
        <x:v>8</x:v>
      </x:c>
      <x:c r="E56" s="26" t="n">
        <x:v>4</x:v>
      </x:c>
      <x:c r="F56" s="26" t="str">
        <x:v>F0604</x:v>
      </x:c>
      <x:c r="G56" s="26" t="str">
        <x:v>Tecnología / procesamiento general de alimentos</x:v>
      </x:c>
      <x:c r="H56" s="26" t="str"/>
      <x:c r="I56" s="26" t="str">
        <x:v>N2</x:v>
      </x:c>
      <x:c r="J56" s="26" t="str">
        <x:v>Alta</x:v>
      </x:c>
      <x:c r="K56" s="26" t="str">
        <x:v>APROBADO</x:v>
      </x:c>
      <x:c r="L56" s="26" t="str">
        <x:v>Tecnología de alimentos I.</x:v>
      </x:c>
      <x:c r="M56" s="26" t="str">
        <x:v>No</x:v>
      </x:c>
      <x:c r="N56" s="26" t="str">
        <x:v>Sí</x:v>
      </x:c>
      <x:c r="O56" s="26" t="str">
        <x:v>No</x:v>
      </x:c>
      <x:c r="P56" s="26" t="str">
        <x:v>EPN_AGRO_F002</x:v>
      </x:c>
    </x:row>
    <x:row r="57">
      <x:c r="A57" s="26" t="str">
        <x:v>AGRD901</x:v>
      </x:c>
      <x:c r="B57" s="26" t="str">
        <x:v>Tecnología de Alimentos II</x:v>
      </x:c>
      <x:c r="C57" s="26" t="str">
        <x:v>ITINERARIO_OPCION</x:v>
      </x:c>
      <x:c r="D57" s="26" t="n">
        <x:v>9</x:v>
      </x:c>
      <x:c r="E57" s="26" t="n">
        <x:v>3</x:v>
      </x:c>
      <x:c r="F57" s="26" t="str">
        <x:v>F0604</x:v>
      </x:c>
      <x:c r="G57" s="26" t="str">
        <x:v>Tecnología / procesamiento general de alimentos</x:v>
      </x:c>
      <x:c r="H57" s="26" t="str"/>
      <x:c r="I57" s="26" t="str">
        <x:v>N3</x:v>
      </x:c>
      <x:c r="J57" s="26" t="str">
        <x:v>Alta</x:v>
      </x:c>
      <x:c r="K57" s="26" t="str">
        <x:v>APROBADO</x:v>
      </x:c>
      <x:c r="L57" s="26" t="str">
        <x:v>Tecnología de alimentos II.</x:v>
      </x:c>
      <x:c r="M57" s="26" t="str">
        <x:v>No</x:v>
      </x:c>
      <x:c r="N57" s="26" t="str">
        <x:v>Sí</x:v>
      </x:c>
      <x:c r="O57" s="26" t="str">
        <x:v>No</x:v>
      </x:c>
      <x:c r="P57" s="26" t="str">
        <x:v>EPN_AGRO_F002</x:v>
      </x:c>
    </x:row>
    <x:row r="58">
      <x:c r="A58" s="26" t="str">
        <x:v>AGRD802</x:v>
      </x:c>
      <x:c r="B58" s="26" t="str">
        <x:v>Biotecnología Agroindustrial I</x:v>
      </x:c>
      <x:c r="C58" s="26" t="str">
        <x:v>ITINERARIO_OPCION</x:v>
      </x:c>
      <x:c r="D58" s="26" t="n">
        <x:v>8</x:v>
      </x:c>
      <x:c r="E58" s="26" t="n">
        <x:v>4</x:v>
      </x:c>
      <x:c r="F58" s="26" t="str">
        <x:v>F0305</x:v>
      </x:c>
      <x:c r="G58" s="26" t="str">
        <x:v>Biotecnología y biología molecular</x:v>
      </x:c>
      <x:c r="H58" s="26" t="str">
        <x:v>F0306</x:v>
      </x:c>
      <x:c r="I58" s="26" t="str">
        <x:v>N2</x:v>
      </x:c>
      <x:c r="J58" s="26" t="str">
        <x:v>Alta</x:v>
      </x:c>
      <x:c r="K58" s="26" t="str">
        <x:v>APROBADO</x:v>
      </x:c>
      <x:c r="L58" s="26" t="str">
        <x:v>Biotecnología agroindustrial I.</x:v>
      </x:c>
      <x:c r="M58" s="26" t="str">
        <x:v>No</x:v>
      </x:c>
      <x:c r="N58" s="26" t="str">
        <x:v>Sí</x:v>
      </x:c>
      <x:c r="O58" s="26" t="str">
        <x:v>No</x:v>
      </x:c>
      <x:c r="P58" s="26" t="str">
        <x:v>EPN_AGRO_F002</x:v>
      </x:c>
    </x:row>
    <x:row r="59">
      <x:c r="A59" s="26" t="str">
        <x:v>AGRD902</x:v>
      </x:c>
      <x:c r="B59" s="26" t="str">
        <x:v>Biotecnología Agroindustrial II</x:v>
      </x:c>
      <x:c r="C59" s="26" t="str">
        <x:v>ITINERARIO_OPCION</x:v>
      </x:c>
      <x:c r="D59" s="26" t="n">
        <x:v>9</x:v>
      </x:c>
      <x:c r="E59" s="26" t="n">
        <x:v>3</x:v>
      </x:c>
      <x:c r="F59" s="26" t="str">
        <x:v>F0305</x:v>
      </x:c>
      <x:c r="G59" s="26" t="str">
        <x:v>Biotecnología y biología molecular</x:v>
      </x:c>
      <x:c r="H59" s="26" t="str">
        <x:v>F0306</x:v>
      </x:c>
      <x:c r="I59" s="26" t="str">
        <x:v>N3</x:v>
      </x:c>
      <x:c r="J59" s="26" t="str">
        <x:v>Alta</x:v>
      </x:c>
      <x:c r="K59" s="26" t="str">
        <x:v>APROBADO</x:v>
      </x:c>
      <x:c r="L59" s="26" t="str">
        <x:v>Biotecnología agroindustrial II.</x:v>
      </x:c>
      <x:c r="M59" s="26" t="str">
        <x:v>No</x:v>
      </x:c>
      <x:c r="N59" s="26" t="str">
        <x:v>Sí</x:v>
      </x:c>
      <x:c r="O59" s="26" t="str">
        <x:v>No</x:v>
      </x:c>
      <x:c r="P59" s="26" t="str">
        <x:v>EPN_AGRO_F002</x:v>
      </x:c>
    </x:row>
    <x:row r="60">
      <x:c r="A60" s="26" t="str">
        <x:v>AGRD803</x:v>
      </x:c>
      <x:c r="B60" s="26" t="str">
        <x:v>Productos No Alimenticios I</x:v>
      </x:c>
      <x:c r="C60" s="26" t="str">
        <x:v>ITINERARIO_OPCION</x:v>
      </x:c>
      <x:c r="D60" s="26" t="n">
        <x:v>8</x:v>
      </x:c>
      <x:c r="E60" s="26" t="n">
        <x:v>4</x:v>
      </x:c>
      <x:c r="F60" s="26" t="str">
        <x:v>NR</x:v>
      </x:c>
      <x:c r="G60" s="26" t="str">
        <x:v>NR</x:v>
      </x:c>
      <x:c r="H60" s="26" t="str"/>
      <x:c r="I60" s="26" t="str">
        <x:v>NR</x:v>
      </x:c>
      <x:c r="J60" s="26" t="str">
        <x:v>Baja</x:v>
      </x:c>
      <x:c r="K60" s="26" t="str">
        <x:v>REVISAR</x:v>
      </x:c>
      <x:c r="L60" s="26" t="str">
        <x:v>Productos no alimenticios no dispone de familia propia en la taxonomía congelada.</x:v>
      </x:c>
      <x:c r="M60" s="26" t="str">
        <x:v>No</x:v>
      </x:c>
      <x:c r="N60" s="26" t="str">
        <x:v>Sí</x:v>
      </x:c>
      <x:c r="O60" s="26" t="str">
        <x:v>No</x:v>
      </x:c>
      <x:c r="P60" s="26" t="str">
        <x:v>EPN_AGRO_F002</x:v>
      </x:c>
    </x:row>
    <x:row r="61">
      <x:c r="A61" s="26" t="str">
        <x:v>AGRD903</x:v>
      </x:c>
      <x:c r="B61" s="26" t="str">
        <x:v>Productos No Alimenticios II</x:v>
      </x:c>
      <x:c r="C61" s="26" t="str">
        <x:v>ITINERARIO_OPCION</x:v>
      </x:c>
      <x:c r="D61" s="26" t="n">
        <x:v>9</x:v>
      </x:c>
      <x:c r="E61" s="26" t="n">
        <x:v>3</x:v>
      </x:c>
      <x:c r="F61" s="26" t="str">
        <x:v>NR</x:v>
      </x:c>
      <x:c r="G61" s="26" t="str">
        <x:v>NR</x:v>
      </x:c>
      <x:c r="H61" s="26" t="str"/>
      <x:c r="I61" s="26" t="str">
        <x:v>NR</x:v>
      </x:c>
      <x:c r="J61" s="26" t="str">
        <x:v>Baja</x:v>
      </x:c>
      <x:c r="K61" s="26" t="str">
        <x:v>REVISAR</x:v>
      </x:c>
      <x:c r="L61" s="26" t="str">
        <x:v>Productos no alimenticios no dispone de familia propia en la taxonomía congelada.</x:v>
      </x:c>
      <x:c r="M61" s="26" t="str">
        <x:v>No</x:v>
      </x:c>
      <x:c r="N61" s="26" t="str">
        <x:v>Sí</x:v>
      </x:c>
      <x:c r="O61" s="26" t="str">
        <x:v>No</x:v>
      </x:c>
      <x:c r="P61" s="26" t="str">
        <x:v>EPN_AGRO_F002</x:v>
      </x:c>
    </x:row>
    <x:row r="62">
      <x:c r="A62" s="26" t="str">
        <x:v>IEXD200</x:v>
      </x:c>
      <x:c r="B62" s="26" t="str">
        <x:v>Nivel de Suficiencia B1 en el idioma inglés</x:v>
      </x:c>
      <x:c r="C62" s="26" t="str">
        <x:v>REQUISITO_GRAD</x:v>
      </x:c>
      <x:c r="D62" s="26" t="str">
        <x:v>NR</x:v>
      </x:c>
      <x:c r="E62" s="26" t="str">
        <x:v>NR</x:v>
      </x:c>
      <x:c r="F62" s="26" t="str">
        <x:v>F1601</x:v>
      </x:c>
      <x:c r="G62" s="26" t="str">
        <x:v>Idioma extranjero</x:v>
      </x:c>
      <x:c r="H62" s="26" t="str"/>
      <x:c r="I62" s="26" t="str">
        <x:v>N1</x:v>
      </x:c>
      <x:c r="J62" s="26" t="str">
        <x:v>Alta</x:v>
      </x:c>
      <x:c r="K62" s="26" t="str">
        <x:v>APROBADO</x:v>
      </x:c>
      <x:c r="L62" s="26" t="str">
        <x:v>Suficiencia B1 de inglés.</x:v>
      </x:c>
      <x:c r="M62" s="26" t="str">
        <x:v>No</x:v>
      </x:c>
      <x:c r="N62" s="26" t="str">
        <x:v>No</x:v>
      </x:c>
      <x:c r="O62" s="26" t="str">
        <x:v>Sí</x:v>
      </x:c>
      <x:c r="P62" s="26" t="str">
        <x:v>EPN_AGRO_F002</x:v>
      </x:c>
    </x:row>
    <x:row r="63">
      <x:c r="A63" s="26" t="str">
        <x:v>DEPD110</x:v>
      </x:c>
      <x:c r="B63" s="26" t="str">
        <x:v>Deportes</x:v>
      </x:c>
      <x:c r="C63" s="26" t="str">
        <x:v>REQUISITO_GRAD</x:v>
      </x:c>
      <x:c r="D63" s="26" t="str">
        <x:v>NR</x:v>
      </x:c>
      <x:c r="E63" s="26" t="str">
        <x:v>NR</x:v>
      </x:c>
      <x:c r="F63" s="26" t="str">
        <x:v>F1606</x:v>
      </x:c>
      <x:c r="G63" s="26" t="str">
        <x:v>Humanidades, deporte y formación general</x:v>
      </x:c>
      <x:c r="H63" s="26" t="str"/>
      <x:c r="I63" s="26" t="str">
        <x:v>N1</x:v>
      </x:c>
      <x:c r="J63" s="26" t="str">
        <x:v>Alta</x:v>
      </x:c>
      <x:c r="K63" s="26" t="str">
        <x:v>APROBADO</x:v>
      </x:c>
      <x:c r="L63" s="26" t="str">
        <x:v>Deportes/formación general.</x:v>
      </x:c>
      <x:c r="M63" s="26" t="str">
        <x:v>No</x:v>
      </x:c>
      <x:c r="N63" s="26" t="str">
        <x:v>No</x:v>
      </x:c>
      <x:c r="O63" s="26" t="str">
        <x:v>Sí</x:v>
      </x:c>
      <x:c r="P63" s="26" t="str">
        <x:v>EPN_AGRO_F002</x:v>
      </x:c>
    </x:row>
    <x:row r="64">
      <x:c r="A64" s="26" t="str">
        <x:v>SOCD210</x:v>
      </x:c>
      <x:c r="B64" s="26" t="str">
        <x:v>Clubes</x:v>
      </x:c>
      <x:c r="C64" s="26" t="str">
        <x:v>REQUISITO_GRAD</x:v>
      </x:c>
      <x:c r="D64" s="26" t="str">
        <x:v>NR</x:v>
      </x:c>
      <x:c r="E64" s="26" t="str">
        <x:v>NR</x:v>
      </x:c>
      <x:c r="F64" s="26" t="str">
        <x:v>F1606</x:v>
      </x:c>
      <x:c r="G64" s="26" t="str">
        <x:v>Humanidades, deporte y formación general</x:v>
      </x:c>
      <x:c r="H64" s="26" t="str"/>
      <x:c r="I64" s="26" t="str">
        <x:v>N1</x:v>
      </x:c>
      <x:c r="J64" s="26" t="str">
        <x:v>Media</x:v>
      </x:c>
      <x:c r="K64" s="26" t="str">
        <x:v>APROBADO</x:v>
      </x:c>
      <x:c r="L64" s="26" t="str">
        <x:v>Clubes/formación general.</x:v>
      </x:c>
      <x:c r="M64" s="26" t="str">
        <x:v>No</x:v>
      </x:c>
      <x:c r="N64" s="26" t="str">
        <x:v>No</x:v>
      </x:c>
      <x:c r="O64" s="26" t="str">
        <x:v>Sí</x:v>
      </x:c>
      <x:c r="P64" s="26" t="str">
        <x:v>EPN_AGRO_F002</x:v>
      </x:c>
    </x:row>
    <x:row r="65">
      <x:c r="A65" s="26" t="str">
        <x:v>CSHD500</x:v>
      </x:c>
      <x:c r="B65" s="26" t="str">
        <x:v>Asignatura de Comunicación</x:v>
      </x:c>
      <x:c r="C65" s="26" t="str">
        <x:v>REQUISITO_GRAD</x:v>
      </x:c>
      <x:c r="D65" s="26" t="str">
        <x:v>NR</x:v>
      </x:c>
      <x:c r="E65" s="26" t="str">
        <x:v>NR</x:v>
      </x:c>
      <x:c r="F65" s="26" t="str">
        <x:v>F1602</x:v>
      </x:c>
      <x:c r="G65" s="26" t="str">
        <x:v>Comunicación académica y profesional</x:v>
      </x:c>
      <x:c r="H65" s="26" t="str"/>
      <x:c r="I65" s="26" t="str">
        <x:v>N1</x:v>
      </x:c>
      <x:c r="J65" s="26" t="str">
        <x:v>Alta</x:v>
      </x:c>
      <x:c r="K65" s="26" t="str">
        <x:v>APROBADO</x:v>
      </x:c>
      <x:c r="L65" s="26" t="str">
        <x:v>Asignatura de comunicación.</x:v>
      </x:c>
      <x:c r="M65" s="26" t="str">
        <x:v>No</x:v>
      </x:c>
      <x:c r="N65" s="26" t="str">
        <x:v>No</x:v>
      </x:c>
      <x:c r="O65" s="26" t="str">
        <x:v>Sí</x:v>
      </x:c>
      <x:c r="P65" s="26" t="str">
        <x:v>EPN_AGRO_F002</x:v>
      </x:c>
    </x:row>
    <x:row r="66">
      <x:c r="A66" s="26" t="str">
        <x:v>ADMD700</x:v>
      </x:c>
      <x:c r="B66" s="26" t="str">
        <x:v>Emprendimiento</x:v>
      </x:c>
      <x:c r="C66" s="26" t="str">
        <x:v>REQUISITO_GRAD</x:v>
      </x:c>
      <x:c r="D66" s="26" t="str">
        <x:v>NR</x:v>
      </x:c>
      <x:c r="E66" s="26" t="str">
        <x:v>NR</x:v>
      </x:c>
      <x:c r="F66" s="26" t="str">
        <x:v>F1208</x:v>
      </x:c>
      <x:c r="G66" s="26" t="str">
        <x:v>Emprendimiento y modelos de negocio</x:v>
      </x:c>
      <x:c r="H66" s="26" t="str"/>
      <x:c r="I66" s="26" t="str">
        <x:v>N2</x:v>
      </x:c>
      <x:c r="J66" s="26" t="str">
        <x:v>Alta</x:v>
      </x:c>
      <x:c r="K66" s="26" t="str">
        <x:v>APROBADO</x:v>
      </x:c>
      <x:c r="L66" s="26" t="str">
        <x:v>Emprendimiento.</x:v>
      </x:c>
      <x:c r="M66" s="26" t="str">
        <x:v>No</x:v>
      </x:c>
      <x:c r="N66" s="26" t="str">
        <x:v>No</x:v>
      </x:c>
      <x:c r="O66" s="26" t="str">
        <x:v>Sí</x:v>
      </x:c>
      <x:c r="P66" s="26" t="str">
        <x:v>EPN_AGRO_F002</x:v>
      </x:c>
    </x:row>
    <x:row r="67">
      <x:c r="A67" s="26" t="str">
        <x:v>ADMD800</x:v>
      </x:c>
      <x:c r="B67" s="26" t="str">
        <x:v>Formulación y Evaluación de Proyectos</x:v>
      </x:c>
      <x:c r="C67" s="26" t="str">
        <x:v>REQUISITO_GRAD</x:v>
      </x:c>
      <x:c r="D67" s="26" t="str">
        <x:v>NR</x:v>
      </x:c>
      <x:c r="E67" s="26" t="str">
        <x:v>NR</x:v>
      </x:c>
      <x:c r="F67" s="26" t="str">
        <x:v>F1207</x:v>
      </x:c>
      <x:c r="G67" s="26" t="str">
        <x:v>Gestión de proyectos</x:v>
      </x:c>
      <x:c r="H67" s="26" t="str"/>
      <x:c r="I67" s="26" t="str">
        <x:v>N2</x:v>
      </x:c>
      <x:c r="J67" s="26" t="str">
        <x:v>Alta</x:v>
      </x:c>
      <x:c r="K67" s="26" t="str">
        <x:v>APROBADO</x:v>
      </x:c>
      <x:c r="L67" s="26" t="str">
        <x:v>Formulación y evaluación de proyectos.</x:v>
      </x:c>
      <x:c r="M67" s="26" t="str">
        <x:v>No</x:v>
      </x:c>
      <x:c r="N67" s="26" t="str">
        <x:v>No</x:v>
      </x:c>
      <x:c r="O67" s="26" t="str">
        <x:v>Sí</x:v>
      </x:c>
      <x:c r="P67" s="26" t="str">
        <x:v>EPN_AGRO_F002</x:v>
      </x:c>
    </x:row>
    <x:row r="68">
      <x:c r="A68" s="26" t="str">
        <x:v>AMBD900</x:v>
      </x:c>
      <x:c r="B68" s="26" t="str">
        <x:v>Ecología y Ambiente</x:v>
      </x:c>
      <x:c r="C68" s="26" t="str">
        <x:v>REQUISITO_GRAD</x:v>
      </x:c>
      <x:c r="D68" s="26" t="str">
        <x:v>NR</x:v>
      </x:c>
      <x:c r="E68" s="26" t="str">
        <x:v>NR</x:v>
      </x:c>
      <x:c r="F68" s="26" t="str">
        <x:v>F1101</x:v>
      </x:c>
      <x:c r="G68" s="26" t="str">
        <x:v>Ecología e impacto ambiental</x:v>
      </x:c>
      <x:c r="H68" s="26" t="str"/>
      <x:c r="I68" s="26" t="str">
        <x:v>N1</x:v>
      </x:c>
      <x:c r="J68" s="26" t="str">
        <x:v>Alta</x:v>
      </x:c>
      <x:c r="K68" s="26" t="str">
        <x:v>APROBADO</x:v>
      </x:c>
      <x:c r="L68" s="26" t="str">
        <x:v>Ecología y ambiente.</x:v>
      </x:c>
      <x:c r="M68" s="26" t="str">
        <x:v>No</x:v>
      </x:c>
      <x:c r="N68" s="26" t="str">
        <x:v>No</x:v>
      </x:c>
      <x:c r="O68" s="26" t="str">
        <x:v>Sí</x:v>
      </x:c>
      <x:c r="P68" s="26" t="str">
        <x:v>EPN_AGRO_F002</x:v>
      </x:c>
    </x:row>
    <x:row r="69">
      <x:c r="A69" s="26" t="str">
        <x:v>AGRD600</x:v>
      </x:c>
      <x:c r="B69" s="26" t="str">
        <x:v>Agricultura Ecológica</x:v>
      </x:c>
      <x:c r="C69" s="26" t="str">
        <x:v>REQUISITO_GRAD</x:v>
      </x:c>
      <x:c r="D69" s="26" t="str">
        <x:v>NR</x:v>
      </x:c>
      <x:c r="E69" s="26" t="str">
        <x:v>NR</x:v>
      </x:c>
      <x:c r="F69" s="26" t="str">
        <x:v>F1001</x:v>
      </x:c>
      <x:c r="G69" s="26" t="str">
        <x:v>Producción vegetal y fitotecnia</x:v>
      </x:c>
      <x:c r="H69" s="26" t="str">
        <x:v>F1105</x:v>
      </x:c>
      <x:c r="I69" s="26" t="str">
        <x:v>N2</x:v>
      </x:c>
      <x:c r="J69" s="26" t="str">
        <x:v>Alta</x:v>
      </x:c>
      <x:c r="K69" s="26" t="str">
        <x:v>APROBADO</x:v>
      </x:c>
      <x:c r="L69" s="26" t="str">
        <x:v>Agricultura ecológica; sostenibilidad como secundaria.</x:v>
      </x:c>
      <x:c r="M69" s="26" t="str">
        <x:v>No</x:v>
      </x:c>
      <x:c r="N69" s="26" t="str">
        <x:v>No</x:v>
      </x:c>
      <x:c r="O69" s="26" t="str">
        <x:v>Sí</x:v>
      </x:c>
      <x:c r="P69" s="26" t="str">
        <x:v>EPN_AGRO_F002</x:v>
      </x:c>
    </x:row>
    <x:row r="70">
      <x:c r="A70" s="26" t="str">
        <x:v>AGRD700</x:v>
      </x:c>
      <x:c r="B70" s="26" t="str">
        <x:v>Agroplasticultura</x:v>
      </x:c>
      <x:c r="C70" s="26" t="str">
        <x:v>REQUISITO_GRAD</x:v>
      </x:c>
      <x:c r="D70" s="26" t="str">
        <x:v>NR</x:v>
      </x:c>
      <x:c r="E70" s="26" t="str">
        <x:v>NR</x:v>
      </x:c>
      <x:c r="F70" s="26" t="str">
        <x:v>F1001</x:v>
      </x:c>
      <x:c r="G70" s="26" t="str">
        <x:v>Producción vegetal y fitotecnia</x:v>
      </x:c>
      <x:c r="H70" s="26" t="str">
        <x:v>F0907</x:v>
      </x:c>
      <x:c r="I70" s="26" t="str">
        <x:v>N2</x:v>
      </x:c>
      <x:c r="J70" s="26" t="str">
        <x:v>Media</x:v>
      </x:c>
      <x:c r="K70" s="26" t="str">
        <x:v>APROBADO</x:v>
      </x:c>
      <x:c r="L70" s="26" t="str">
        <x:v>Agroplasticultura: producción vegetal; materiales/plásticos como secundaria.</x:v>
      </x:c>
      <x:c r="M70" s="26" t="str">
        <x:v>No</x:v>
      </x:c>
      <x:c r="N70" s="26" t="str">
        <x:v>No</x:v>
      </x:c>
      <x:c r="O70" s="26" t="str">
        <x:v>Sí</x:v>
      </x:c>
      <x:c r="P70" s="26" t="str">
        <x:v>EPN_AGRO_F002</x:v>
      </x:c>
    </x:row>
    <x:row r="71">
      <x:c r="A71" s="26" t="str">
        <x:v>AGRD810</x:v>
      </x:c>
      <x:c r="B71" s="26" t="str">
        <x:v>Subproductos Agroindustriales</x:v>
      </x:c>
      <x:c r="C71" s="26" t="str">
        <x:v>REQUISITO_GRAD</x:v>
      </x:c>
      <x:c r="D71" s="26" t="str">
        <x:v>NR</x:v>
      </x:c>
      <x:c r="E71" s="26" t="str">
        <x:v>NR</x:v>
      </x:c>
      <x:c r="F71" s="26" t="str">
        <x:v>F1103</x:v>
      </x:c>
      <x:c r="G71" s="26" t="str">
        <x:v>Residuos, subproductos y valorización</x:v>
      </x:c>
      <x:c r="H71" s="26" t="str"/>
      <x:c r="I71" s="26" t="str">
        <x:v>N2</x:v>
      </x:c>
      <x:c r="J71" s="26" t="str">
        <x:v>Alta</x:v>
      </x:c>
      <x:c r="K71" s="26" t="str">
        <x:v>APROBADO</x:v>
      </x:c>
      <x:c r="L71" s="26" t="str">
        <x:v>Subproductos agroindustriales / valorización.</x:v>
      </x:c>
      <x:c r="M71" s="26" t="str">
        <x:v>No</x:v>
      </x:c>
      <x:c r="N71" s="26" t="str">
        <x:v>No</x:v>
      </x:c>
      <x:c r="O71" s="26" t="str">
        <x:v>Sí</x:v>
      </x:c>
      <x:c r="P71" s="26" t="str">
        <x:v>EPN_AGRO_F002</x:v>
      </x:c>
    </x:row>
  </x:sheetData>
  <x:conditionalFormatting sqref="K2:K71">
    <x:cfRule type="expression" dxfId="10" priority="1">
      <x:formula>K2="REVISAR"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58" hidden="0" customWidth="1"/>
    <x:col min="5" max="5" width="58" hidden="0" customWidth="1"/>
    <x:col min="6" max="6" width="58" hidden="0" customWidth="1"/>
    <x:col min="7" max="7" width="58" hidden="0" customWidth="1"/>
    <x:col min="8" max="8" width="58" hidden="0" customWidth="1"/>
  </x:cols>
  <x:sheetData>
    <x:row r="1">
      <x:c r="A1" s="14" t="str">
        <x:v>ID_Hallazgo</x:v>
      </x:c>
      <x:c r="B1" s="14" t="str">
        <x:v>Codigo</x:v>
      </x:c>
      <x:c r="C1" s="14" t="str">
        <x:v>Asignatura</x:v>
      </x:c>
      <x:c r="D1" s="14" t="str">
        <x:v>Problema</x:v>
      </x:c>
      <x:c r="E1" s="14" t="str">
        <x:v>Estado</x:v>
      </x:c>
      <x:c r="F1" s="14" t="str">
        <x:v>Accion</x:v>
      </x:c>
      <x:c r="G1" s="14" t="str">
        <x:v>Impacto_en_benchmark</x:v>
      </x:c>
      <x:c r="H1" s="14" t="str">
        <x:v>Version_futura</x:v>
      </x:c>
    </x:row>
    <x:row r="2">
      <x:c r="A2" s="26" t="str">
        <x:v>NORM_EPN_01</x:v>
      </x:c>
      <x:c r="B2" s="26" t="str">
        <x:v>AGRD412</x:v>
      </x:c>
      <x:c r="C2" s="26" t="str">
        <x:v>Agroindustrias</x:v>
      </x:c>
      <x:c r="D2" s="26" t="str">
        <x:v>'Agroindustrias' es demasiado amplio para asignar una familia sin contenidos.</x:v>
      </x:c>
      <x:c r="E2" s="47" t="str">
        <x:v>REVISAR</x:v>
      </x:c>
      <x:c r="F2" s="26" t="str">
        <x:v>No forzar familia en AGRO-NORM-v1.0; revisar PEA/fuente más granular.</x:v>
      </x:c>
      <x:c r="G2" s="26" t="str">
        <x:v>Excluido de métricas de frecuencia/peso por familia hasta resolver.</x:v>
      </x:c>
      <x:c r="H2" s="26" t="str">
        <x:v>Evaluar familia de agroindustrias/productos no alimenticios si aparecen suficientes casos comparables</x:v>
      </x:c>
    </x:row>
    <x:row r="3">
      <x:c r="A3" s="26" t="str">
        <x:v>NORM_EPN_02</x:v>
      </x:c>
      <x:c r="B3" s="26" t="str">
        <x:v>IAQD511</x:v>
      </x:c>
      <x:c r="C3" s="26" t="str">
        <x:v>Seguridad Industrial y Salud Ocupacional</x:v>
      </x:c>
      <x:c r="D3" s="26" t="str">
        <x:v>La taxonomía v1.0 no contiene una familia específica de seguridad industrial y salud ocupacional.</x:v>
      </x:c>
      <x:c r="E3" s="47" t="str">
        <x:v>REVISAR</x:v>
      </x:c>
      <x:c r="F3" s="26" t="str">
        <x:v>No forzar familia en AGRO-NORM-v1.0; revisar PEA/fuente más granular.</x:v>
      </x:c>
      <x:c r="G3" s="26" t="str">
        <x:v>Excluido de métricas de frecuencia/peso por familia hasta resolver.</x:v>
      </x:c>
      <x:c r="H3" s="26" t="str">
        <x:v>Evaluar nueva familia de Seguridad Industrial/Salud Ocupacional</x:v>
      </x:c>
    </x:row>
    <x:row r="4">
      <x:c r="A4" s="26" t="str">
        <x:v>NORM_EPN_03</x:v>
      </x:c>
      <x:c r="B4" s="26" t="str">
        <x:v>AGRD743</x:v>
      </x:c>
      <x:c r="C4" s="26" t="str">
        <x:v>Polímeros en la Agroindustria</x:v>
      </x:c>
      <x:c r="D4" s="26" t="str">
        <x:v>Polímeros en agroindustria no permite distinguir packaging, biomateriales o productos no alimenticios sin contenido.</x:v>
      </x:c>
      <x:c r="E4" s="47" t="str">
        <x:v>REVISAR</x:v>
      </x:c>
      <x:c r="F4" s="26" t="str">
        <x:v>No forzar familia en AGRO-NORM-v1.0; revisar PEA/fuente más granular.</x:v>
      </x:c>
      <x:c r="G4" s="26" t="str">
        <x:v>Excluido de métricas de frecuencia/peso por familia hasta resolver.</x:v>
      </x:c>
      <x:c r="H4" s="26" t="str">
        <x:v>Evaluar familia de materiales/biomateriales agroindustriales si el PEA no corresponde a packaging</x:v>
      </x:c>
    </x:row>
    <x:row r="5">
      <x:c r="A5" s="26" t="str">
        <x:v>NORM_EPN_04</x:v>
      </x:c>
      <x:c r="B5" s="26" t="str">
        <x:v>PSCD202</x:v>
      </x:c>
      <x:c r="C5" s="26" t="str">
        <x:v>Prácticas de Servicio Comunitario</x:v>
      </x:c>
      <x:c r="D5" s="26" t="str">
        <x:v>Servicio comunitario no posee familia específica en AGRO-NORM-v1.0.</x:v>
      </x:c>
      <x:c r="E5" s="47" t="str">
        <x:v>REVISAR</x:v>
      </x:c>
      <x:c r="F5" s="26" t="str">
        <x:v>No forzar familia en AGRO-NORM-v1.0; revisar PEA/fuente más granular.</x:v>
      </x:c>
      <x:c r="G5" s="26" t="str">
        <x:v>Excluido de métricas de frecuencia/peso por familia hasta resolver.</x:v>
      </x:c>
      <x:c r="H5" s="26" t="str">
        <x:v>Evaluar tratamiento de servicio comunitario como experiencia transversal</x:v>
      </x:c>
    </x:row>
    <x:row r="6">
      <x:c r="A6" s="26" t="str">
        <x:v>NORM_EPN_05</x:v>
      </x:c>
      <x:c r="B6" s="26" t="str">
        <x:v>AGRD803</x:v>
      </x:c>
      <x:c r="C6" s="26" t="str">
        <x:v>Productos No Alimenticios I</x:v>
      </x:c>
      <x:c r="D6" s="26" t="str">
        <x:v>Productos no alimenticios no dispone de familia propia en la taxonomía congelada.</x:v>
      </x:c>
      <x:c r="E6" s="47" t="str">
        <x:v>REVISAR</x:v>
      </x:c>
      <x:c r="F6" s="26" t="str">
        <x:v>No forzar familia en AGRO-NORM-v1.0; revisar PEA/fuente más granular.</x:v>
      </x:c>
      <x:c r="G6" s="26" t="str">
        <x:v>Excluido de métricas de frecuencia/peso por familia hasta resolver.</x:v>
      </x:c>
      <x:c r="H6" s="26" t="str">
        <x:v>Evaluar familia de agroindustrias/productos no alimenticios si aparecen suficientes casos comparables</x:v>
      </x:c>
    </x:row>
    <x:row r="7">
      <x:c r="A7" s="26" t="str">
        <x:v>NORM_EPN_06</x:v>
      </x:c>
      <x:c r="B7" s="26" t="str">
        <x:v>AGRD903</x:v>
      </x:c>
      <x:c r="C7" s="26" t="str">
        <x:v>Productos No Alimenticios II</x:v>
      </x:c>
      <x:c r="D7" s="26" t="str">
        <x:v>Productos no alimenticios no dispone de familia propia en la taxonomía congelada.</x:v>
      </x:c>
      <x:c r="E7" s="47" t="str">
        <x:v>REVISAR</x:v>
      </x:c>
      <x:c r="F7" s="26" t="str">
        <x:v>No forzar familia en AGRO-NORM-v1.0; revisar PEA/fuente más granular.</x:v>
      </x:c>
      <x:c r="G7" s="26" t="str">
        <x:v>Excluido de métricas de frecuencia/peso por familia hasta resolver.</x:v>
      </x:c>
      <x:c r="H7" s="26" t="str">
        <x:v>Evaluar familia de agroindustrias/productos no alimenticios si aparecen suficientes casos comparables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</x:cols>
  <x:sheetData>
    <x:row r="1">
      <x:c r="A1" s="14" t="str">
        <x:v>ID_Fuente</x:v>
      </x:c>
      <x:c r="B1" s="14" t="str">
        <x:v>Tipo</x:v>
      </x:c>
      <x:c r="C1" s="14" t="str">
        <x:v>Titulo</x:v>
      </x:c>
      <x:c r="D1" s="14" t="str">
        <x:v>Institucion</x:v>
      </x:c>
      <x:c r="E1" s="14" t="str">
        <x:v>Version</x:v>
      </x:c>
      <x:c r="F1" s="14" t="str">
        <x:v>URL_o_archivo</x:v>
      </x:c>
      <x:c r="G1" s="14" t="str">
        <x:v>Uso_en_analisis</x:v>
      </x:c>
      <x:c r="H1" s="14" t="str">
        <x:v>Vigencia</x:v>
      </x:c>
    </x:row>
    <x:row r="2">
      <x:c r="A2" s="26" t="str">
        <x:v>EPN_AGRO_F001</x:v>
      </x:c>
      <x:c r="B2" s="26" t="str">
        <x:v>Página institucional</x:v>
      </x:c>
      <x:c r="C2" s="26" t="str">
        <x:v>Carrera Agroindustria</x:v>
      </x:c>
      <x:c r="D2" s="26" t="str">
        <x:v>EPN</x:v>
      </x:c>
      <x:c r="E2" s="26" t="str">
        <x:v>Vigente 2026</x:v>
      </x:c>
      <x:c r="F2" s="26" t="str">
        <x:v>https://www.epn.edu.ec/program-00/</x:v>
      </x:c>
      <x:c r="G2" s="26" t="str">
        <x:v>Objetivo, perfil vigente, campo ocupacional, duración/título/modalidad</x:v>
      </x:c>
      <x:c r="H2" s="26" t="str">
        <x:v>Vigente</x:v>
      </x:c>
    </x:row>
    <x:row r="3">
      <x:c r="A3" s="26" t="str">
        <x:v>EPN_AGRO_F002</x:v>
      </x:c>
      <x:c r="B3" s="26" t="str">
        <x:v>Malla oficial</x:v>
      </x:c>
      <x:c r="C3" s="26" t="str">
        <x:v>Malla curricular Agroindustria — PÉNSUM 2020</x:v>
      </x:c>
      <x:c r="D3" s="26" t="str">
        <x:v>EPN / Consejo de Docencia</x:v>
      </x:c>
      <x:c r="E3" s="26" t="str">
        <x:v>Publicada 2022; enlazada actualmente</x:v>
      </x:c>
      <x:c r="F3" s="26" t="str">
        <x:v>https://www.epn.edu.ec/wp-content/uploads/2024/09/malla_agroindustria.pdf</x:v>
      </x:c>
      <x:c r="G3" s="26" t="str">
        <x:v>Estructura, créditos, horas, itinerarios, prácticas y requisitos</x:v>
      </x:c>
      <x:c r="H3" s="26" t="str">
        <x:v>Vigente como malla enlazada</x:v>
      </x:c>
    </x:row>
    <x:row r="4">
      <x:c r="A4" s="26" t="str">
        <x:v>EPN_AGRO_F003</x:v>
      </x:c>
      <x:c r="B4" s="26" t="str">
        <x:v>Repositorio institucional</x:v>
      </x:c>
      <x:c r="C4" s="26" t="str">
        <x:v>Registro ATENEA de la malla</x:v>
      </x:c>
      <x:c r="D4" s="26" t="str">
        <x:v>EPN</x:v>
      </x:c>
      <x:c r="E4" s="26" t="str">
        <x:v>14-abr-2022</x:v>
      </x:c>
      <x:c r="F4" s="26" t="str">
        <x:v>https://atenea.epn.edu.ec/handle/25000/602</x:v>
      </x:c>
      <x:c r="G4" s="26" t="str">
        <x:v>Trazabilidad institucional de la malla</x:v>
      </x:c>
      <x:c r="H4" s="26" t="str">
        <x:v>Vigente</x:v>
      </x:c>
    </x:row>
    <x:row r="5">
      <x:c r="A5" s="26" t="str">
        <x:v>EPN_AGRO_F004</x:v>
      </x:c>
      <x:c r="B5" s="26" t="str">
        <x:v>Planificación interna</x:v>
      </x:c>
      <x:c r="C5" s="26" t="str">
        <x:v>Plan2026A_Agroindustria.pdf</x:v>
      </x:c>
      <x:c r="D5" s="26" t="str">
        <x:v>EPN</x:v>
      </x:c>
      <x:c r="E5" s="26" t="str">
        <x:v>2026B</x:v>
      </x:c>
      <x:c r="F5" s="26" t="str">
        <x:v>Plan2026A_Agroindustria.pdf</x:v>
      </x:c>
      <x:c r="G5" s="26" t="str">
        <x:v>Confirmación operacional de oferta</x:v>
      </x:c>
      <x:c r="H5" s="26" t="str">
        <x:v>Actual 2026</x:v>
      </x:c>
    </x:row>
    <x:row r="6">
      <x:c r="A6" s="26" t="str">
        <x:v>EPN_AGRO_F005</x:v>
      </x:c>
      <x:c r="B6" s="26" t="str">
        <x:v>Horario interno</x:v>
      </x:c>
      <x:c r="C6" s="26" t="str">
        <x:v>Horarios_2026B_Agroindustria.xlsx</x:v>
      </x:c>
      <x:c r="D6" s="26" t="str">
        <x:v>EPN</x:v>
      </x:c>
      <x:c r="E6" s="26" t="str">
        <x:v>2026B</x:v>
      </x:c>
      <x:c r="F6" s="26" t="str">
        <x:v>Horarios_2026B_Agroindustria.xlsx</x:v>
      </x:c>
      <x:c r="G6" s="26" t="str">
        <x:v>Laboratorios explícitos y horas semanales operativas</x:v>
      </x:c>
      <x:c r="H6" s="26" t="str">
        <x:v>Actual 2026</x:v>
      </x:c>
    </x:row>
    <x:row r="7">
      <x:c r="A7" s="26" t="str">
        <x:v>EPN_AGRO_F006</x:v>
      </x:c>
      <x:c r="B7" s="26" t="str">
        <x:v>Reporte de rediseño</x:v>
      </x:c>
      <x:c r="C7" s="26" t="str">
        <x:v>Encuesta graduados + síntesis focus group</x:v>
      </x:c>
      <x:c r="D7" s="26" t="str">
        <x:v>FIQA — EPN</x:v>
      </x:c>
      <x:c r="E7" s="26" t="str">
        <x:v>2026</x:v>
      </x:c>
      <x:c r="F7" s="26" t="str">
        <x:v>Reporte_Ejecutivo_Ingenieria_Agroindustrial.docx</x:v>
      </x:c>
      <x:c r="G7" s="26" t="str">
        <x:v>Señales de pertinencia/modernización</x:v>
      </x:c>
      <x:c r="H7" s="26" t="str">
        <x:v>Insumo de rediseño</x:v>
      </x:c>
    </x:row>
    <x:row r="8">
      <x:c r="A8" s="26" t="str">
        <x:v>EPN_AGRO_F007</x:v>
      </x:c>
      <x:c r="B8" s="26" t="str">
        <x:v>Focus group</x:v>
      </x:c>
      <x:c r="C8" s="26" t="str">
        <x:v>Informe de Resultados con Empleadores</x:v>
      </x:c>
      <x:c r="D8" s="26" t="str">
        <x:v>DRI — EPN</x:v>
      </x:c>
      <x:c r="E8" s="26" t="str">
        <x:v>28/11/2024</x:v>
      </x:c>
      <x:c r="F8" s="26" t="str">
        <x:v>IAformato_de_informe_-_focus_group_0331320001733776588.docx</x:v>
      </x:c>
      <x:c r="G8" s="26" t="str">
        <x:v>Demanda de empleadores</x:v>
      </x:c>
      <x:c r="H8" s="26" t="str">
        <x:v>Insumo de rediseño</x:v>
      </x:c>
    </x:row>
    <x:row r="9">
      <x:c r="A9" s="26" t="str">
        <x:v>EPN_AGRO_F008</x:v>
      </x:c>
      <x:c r="B9" s="26" t="str">
        <x:v>Ajuste curricular</x:v>
      </x:c>
      <x:c r="C9" s="26" t="str">
        <x:v>Perfil de egreso y perfil profesional — Agroindustria</x:v>
      </x:c>
      <x:c r="D9" s="26" t="str">
        <x:v>Vicerrectorado de Docencia — EPN</x:v>
      </x:c>
      <x:c r="E9" s="26" t="str">
        <x:v>Propuesta 2026</x:v>
      </x:c>
      <x:c r="F9" s="26" t="str">
        <x:v>Formato_perfil_egreso_profesional_carrera(3).docx</x:v>
      </x:c>
      <x:c r="G9" s="26" t="str">
        <x:v>Perfil profesional/competencias CPIA propuestas</x:v>
      </x:c>
      <x:c r="H9" s="26" t="str">
        <x:v>PROPUESTA, no oferta vigente</x:v>
      </x:c>
    </x:row>
    <x:row r="10">
      <x:c r="A10" s="26" t="str">
        <x:v>EPN_AGRO_F009</x:v>
      </x:c>
      <x:c r="B10" s="26" t="str">
        <x:v>Modelo educativo</x:v>
      </x:c>
      <x:c r="C10" s="26" t="str">
        <x:v>Modelo Educativo EPN — STEAM</x:v>
      </x:c>
      <x:c r="D10" s="26" t="str">
        <x:v>EPN</x:v>
      </x:c>
      <x:c r="E10" s="26" t="str">
        <x:v>Vigente</x:v>
      </x:c>
      <x:c r="F10" s="26" t="str">
        <x:v>Modelo-Educativo-EPN-Transformando-la-Educacion-STEAM-signed.pdf</x:v>
      </x:c>
      <x:c r="G10" s="26" t="str">
        <x:v>Competencias transversales y marco de trazabilidad</x:v>
      </x:c>
      <x:c r="H10" s="26" t="str">
        <x:v>Vigente institucional</x:v>
      </x:c>
    </x:row>
    <x:row r="11">
      <x:c r="A11" s="26" t="str">
        <x:v>BENCH_F001</x:v>
      </x:c>
      <x:c r="B11" s="26" t="str">
        <x:v>Base comparativa</x:v>
      </x:c>
      <x:c r="C11" s="26" t="str">
        <x:v>Matriz_Comparativa_AGRO_v1_0.xlsx</x:v>
      </x:c>
      <x:c r="D11" s="26" t="str">
        <x:v>Proyecto AGRO</x:v>
      </x:c>
      <x:c r="E11" s="26" t="str">
        <x:v>v1.0</x:v>
      </x:c>
      <x:c r="F11" s="26" t="str">
        <x:v>Matriz_Comparativa_AGRO_v1_0.xlsx</x:v>
      </x:c>
      <x:c r="G11" s="26" t="str">
        <x:v>Frecuencia, peso, posición, profundidad y emergentes internacionales</x:v>
      </x:c>
      <x:c r="H11" s="26" t="str">
        <x:v>Congelada para esta comparación</x:v>
      </x:c>
    </x:row>
    <x:row r="12">
      <x:c r="A12" s="26" t="str">
        <x:v>BENCH_F002</x:v>
      </x:c>
      <x:c r="B12" s="26" t="str">
        <x:v>Base normalizada</x:v>
      </x:c>
      <x:c r="C12" s="26" t="str">
        <x:v>Base_Maestra_AGRO_v1_0_NORMALIZADA_AUDITADA.xlsx</x:v>
      </x:c>
      <x:c r="D12" s="26" t="str">
        <x:v>Proyecto AGRO</x:v>
      </x:c>
      <x:c r="E12" s="26" t="str">
        <x:v>v1.0</x:v>
      </x:c>
      <x:c r="F12" s="26" t="str">
        <x:v>Base_Maestra_AGRO_v1_0_NORMALIZADA_AUDITADA.xlsx</x:v>
      </x:c>
      <x:c r="G12" s="26" t="str">
        <x:v>Origen normalizado de benchmark</x:v>
      </x:c>
      <x:c r="H12" s="26" t="str">
        <x:v>Congelada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4" t="str">
        <x:v>ID</x:v>
      </x:c>
      <x:c r="B1" s="14" t="str">
        <x:v>Control</x:v>
      </x:c>
      <x:c r="C1" s="14" t="str">
        <x:v>Resultado</x:v>
      </x:c>
      <x:c r="D1" s="14" t="str">
        <x:v>Esperado</x:v>
      </x:c>
      <x:c r="E1" s="14" t="str">
        <x:v>Estado</x:v>
      </x:c>
    </x:row>
    <x:row r="2">
      <x:c r="A2" s="26" t="str">
        <x:v>C01</x:v>
      </x:c>
      <x:c r="B2" s="26" t="str">
        <x:v>Familias taxonomía</x:v>
      </x:c>
      <x:c r="C2" s="26" t="n">
        <x:v>111</x:v>
      </x:c>
      <x:c r="D2" s="26" t="n">
        <x:v>111</x:v>
      </x:c>
      <x:c r="E2" s="26" t="str">
        <x:v>OK</x:v>
      </x:c>
    </x:row>
    <x:row r="3">
      <x:c r="A3" s="26" t="str">
        <x:v>C02</x:v>
      </x:c>
      <x:c r="B3" s="26" t="str">
        <x:v>Registros EPN estructurados</x:v>
      </x:c>
      <x:c r="C3" s="26" t="n">
        <x:v>70</x:v>
      </x:c>
      <x:c r="D3" s="26" t="n">
        <x:v>70</x:v>
      </x:c>
      <x:c r="E3" s="26" t="str">
        <x:v>OK</x:v>
      </x:c>
    </x:row>
    <x:row r="4">
      <x:c r="A4" s="26" t="str">
        <x:v>C03</x:v>
      </x:c>
      <x:c r="B4" s="26" t="str">
        <x:v>Créditos cuadrícula EPN</x:v>
      </x:c>
      <x:c r="C4" s="26" t="n">
        <x:v>135</x:v>
      </x:c>
      <x:c r="D4" s="26" t="n">
        <x:v>135</x:v>
      </x:c>
      <x:c r="E4" s="26" t="str">
        <x:v>OK</x:v>
      </x:c>
    </x:row>
    <x:row r="5">
      <x:c r="A5" s="26" t="str">
        <x:v>C04</x:v>
      </x:c>
      <x:c r="B5" s="26" t="str">
        <x:v>Periodos EPN</x:v>
      </x:c>
      <x:c r="C5" s="26" t="n">
        <x:v>9</x:v>
      </x:c>
      <x:c r="D5" s="26" t="n">
        <x:v>9</x:v>
      </x:c>
      <x:c r="E5" s="26" t="str">
        <x:v>OK</x:v>
      </x:c>
    </x:row>
    <x:row r="6">
      <x:c r="A6" s="26" t="str">
        <x:v>C05</x:v>
      </x:c>
      <x:c r="B6" s="26" t="str">
        <x:v>Asignaturas + experiencias cuadrícula</x:v>
      </x:c>
      <x:c r="C6" s="26" t="n">
        <x:v>54</x:v>
      </x:c>
      <x:c r="D6" s="26" t="n">
        <x:v>54</x:v>
      </x:c>
      <x:c r="E6" s="26" t="str">
        <x:v>OK</x:v>
      </x:c>
    </x:row>
    <x:row r="7">
      <x:c r="A7" s="26" t="str">
        <x:v>C06</x:v>
      </x:c>
      <x:c r="B7" s="26" t="str">
        <x:v>Asignaturas declaradas por malla</x:v>
      </x:c>
      <x:c r="C7" s="26" t="n">
        <x:v>52</x:v>
      </x:c>
      <x:c r="D7" s="26" t="n">
        <x:v>52</x:v>
      </x:c>
      <x:c r="E7" s="26" t="str">
        <x:v>OK</x:v>
      </x:c>
    </x:row>
    <x:row r="8">
      <x:c r="A8" s="26" t="str">
        <x:v>C07</x:v>
      </x:c>
      <x:c r="B8" s="26" t="str">
        <x:v>Opciones de itinerario</x:v>
      </x:c>
      <x:c r="C8" s="26" t="n">
        <x:v>6</x:v>
      </x:c>
      <x:c r="D8" s="26" t="n">
        <x:v>6</x:v>
      </x:c>
      <x:c r="E8" s="26" t="str">
        <x:v>OK</x:v>
      </x:c>
    </x:row>
    <x:row r="9">
      <x:c r="A9" s="26" t="str">
        <x:v>C08</x:v>
      </x:c>
      <x:c r="B9" s="26" t="str">
        <x:v>Requisitos graduación suplementarios</x:v>
      </x:c>
      <x:c r="C9" s="26" t="n">
        <x:v>10</x:v>
      </x:c>
      <x:c r="D9" s="26" t="n">
        <x:v>10</x:v>
      </x:c>
      <x:c r="E9" s="26" t="str">
        <x:v>OK</x:v>
      </x:c>
    </x:row>
    <x:row r="10">
      <x:c r="A10" s="26" t="str">
        <x:v>C09</x:v>
      </x:c>
      <x:c r="B10" s="26" t="str">
        <x:v>Normalización APROBADO</x:v>
      </x:c>
      <x:c r="C10" s="26" t="n">
        <x:v>64</x:v>
      </x:c>
      <x:c r="D10" s="26" t="n">
        <x:v>64</x:v>
      </x:c>
      <x:c r="E10" s="26" t="str">
        <x:v>OK</x:v>
      </x:c>
    </x:row>
    <x:row r="11">
      <x:c r="A11" s="26" t="str">
        <x:v>C10</x:v>
      </x:c>
      <x:c r="B11" s="26" t="str">
        <x:v>Normalización REVISAR</x:v>
      </x:c>
      <x:c r="C11" s="26" t="n">
        <x:v>6</x:v>
      </x:c>
      <x:c r="D11" s="26" t="n">
        <x:v>6</x:v>
      </x:c>
      <x:c r="E11" s="26" t="str">
        <x:v>OK</x:v>
      </x:c>
    </x:row>
    <x:row r="12">
      <x:c r="A12" s="26" t="str">
        <x:v>C11</x:v>
      </x:c>
      <x:c r="B12" s="26" t="str">
        <x:v>Laboratorios explícitos 2026</x:v>
      </x:c>
      <x:c r="C12" s="26" t="n">
        <x:v>19</x:v>
      </x:c>
      <x:c r="D12" s="26" t="n">
        <x:v>19</x:v>
      </x:c>
      <x:c r="E12" s="26" t="str">
        <x:v>OK</x:v>
      </x:c>
    </x:row>
    <x:row r="13">
      <x:c r="A13" s="26" t="str">
        <x:v>C12</x:v>
      </x:c>
      <x:c r="B13" s="26" t="str">
        <x:v>EPN añadido al denominador benchmark</x:v>
      </x:c>
      <x:c r="C13" s="26" t="str">
        <x:v>NO</x:v>
      </x:c>
      <x:c r="D13" s="26" t="str">
        <x:v>NO</x:v>
      </x:c>
      <x:c r="E13" s="26" t="str">
        <x:v>OK</x:v>
      </x:c>
    </x:row>
    <x:row r="14">
      <x:c r="A14" s="26" t="str">
        <x:v>C13</x:v>
      </x:c>
      <x:c r="B14" s="26" t="str">
        <x:v>Perfil propuesta confundido con vigente</x:v>
      </x:c>
      <x:c r="C14" s="26" t="str">
        <x:v>NO</x:v>
      </x:c>
      <x:c r="D14" s="26" t="str">
        <x:v>NO</x:v>
      </x:c>
      <x:c r="E14" s="26" t="str">
        <x:v>OK</x:v>
      </x:c>
    </x:row>
    <x:row r="15">
      <x:c r="A15" s="26" t="str">
        <x:v>C14</x:v>
      </x:c>
      <x:c r="B15" s="26" t="str">
        <x:v>Créditos de opciones sumados al 135</x:v>
      </x:c>
      <x:c r="C15" s="26" t="str">
        <x:v>NO</x:v>
      </x:c>
      <x:c r="D15" s="26" t="str">
        <x:v>NO</x:v>
      </x:c>
      <x:c r="E15" s="26" t="str">
        <x:v>OK</x:v>
      </x:c>
    </x:row>
    <x:row r="16">
      <x:c r="A16" s="26" t="str">
        <x:v>C15</x:v>
      </x:c>
      <x:c r="B16" s="26" t="str">
        <x:v>Requisitos externos con créditos imputados</x:v>
      </x:c>
      <x:c r="C16" s="26" t="str">
        <x:v>NO</x:v>
      </x:c>
      <x:c r="D16" s="26" t="str">
        <x:v>NO</x:v>
      </x:c>
      <x:c r="E16" s="26" t="str">
        <x:v>OK</x:v>
      </x:c>
    </x:row>
    <x:row r="17">
      <x:c r="A17" s="26" t="str">
        <x:v>C16</x:v>
      </x:c>
      <x:c r="B17" s="26" t="str">
        <x:v>Familias secundarias reciben crédito completo</x:v>
      </x:c>
      <x:c r="C17" s="26" t="str">
        <x:v>NO</x:v>
      </x:c>
      <x:c r="D17" s="26" t="str">
        <x:v>NO</x:v>
      </x:c>
      <x:c r="E17" s="26" t="str">
        <x:v>OK</x:v>
      </x:c>
    </x:row>
    <x:row r="18">
      <x:c r="A18" s="26" t="str">
        <x:v>C17</x:v>
      </x:c>
      <x:c r="B18" s="26" t="str">
        <x:v>Casos REVISAR forzados a familia</x:v>
      </x:c>
      <x:c r="C18" s="26" t="str">
        <x:v>NO</x:v>
      </x:c>
      <x:c r="D18" s="26" t="str">
        <x:v>NO</x:v>
      </x:c>
      <x:c r="E18" s="26" t="str">
        <x:v>OK</x:v>
      </x:c>
    </x:row>
    <x:row r="19">
      <x:c r="A19" s="26" t="str">
        <x:v>C18</x:v>
      </x:c>
      <x:c r="B19" s="26" t="str">
        <x:v>Errores de fórmula</x:v>
      </x:c>
      <x:c r="C19" s="26" t="str">
        <x:v>0</x:v>
      </x:c>
      <x:c r="D19" s="26" t="str">
        <x:v>0</x:v>
      </x:c>
      <x:c r="E19" s="26" t="str">
        <x:v>OK</x:v>
      </x:c>
    </x:row>
  </x:sheetData>
  <x:conditionalFormatting sqref="E2:E19">
    <x:cfRule type="expression" dxfId="11" priority="1">
      <x:formula>E2="OK"</x:formula>
    </x:cfRule>
    <x:cfRule type="expression" dxfId="12" priority="2">
      <x:formula>E2="ERROR"</x:formula>
    </x:cfRule>
  </x:conditionalFormatting>
  <x:pageMargins left="0.7" right="0.7" top="0.75" bottom="0.75" header="0.3" footer="0.3"/>
</x:worksheet>
</file>