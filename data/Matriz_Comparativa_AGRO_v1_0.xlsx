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d3a060092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262320518c8d4e8b"/>
    <x:sheet xmlns:r="http://schemas.openxmlformats.org/officeDocument/2006/relationships" name="01_Metodologia" sheetId="2" r:id="Re132cb2fbb5c4a6a"/>
    <x:sheet xmlns:r="http://schemas.openxmlformats.org/officeDocument/2006/relationships" name="02_Universos" sheetId="3" r:id="Ra0a0040a13a146e8"/>
    <x:sheet xmlns:r="http://schemas.openxmlformats.org/officeDocument/2006/relationships" name="03_Matriz_Familias" sheetId="4" r:id="Rfc790bd35a8e465e"/>
    <x:sheet xmlns:r="http://schemas.openxmlformats.org/officeDocument/2006/relationships" name="04_Presencia_Curriculos" sheetId="5" r:id="R4d801fb3fdb544b4"/>
    <x:sheet xmlns:r="http://schemas.openxmlformats.org/officeDocument/2006/relationships" name="05_Peso_Creditos_Core" sheetId="6" r:id="R034b2efd5fb8478c"/>
    <x:sheet xmlns:r="http://schemas.openxmlformats.org/officeDocument/2006/relationships" name="06_Posicion_Core" sheetId="7" r:id="R7cbd70a6a0b04f6b"/>
    <x:sheet xmlns:r="http://schemas.openxmlformats.org/officeDocument/2006/relationships" name="07_Profundidad_Core" sheetId="8" r:id="R9cefd7b1470c4028"/>
    <x:sheet xmlns:r="http://schemas.openxmlformats.org/officeDocument/2006/relationships" name="08_Resumen_Areas" sheetId="9" r:id="Rfff2bc055398436b"/>
    <x:sheet xmlns:r="http://schemas.openxmlformats.org/officeDocument/2006/relationships" name="09_Universales" sheetId="10" r:id="R9e5bc024caef4dc3"/>
    <x:sheet xmlns:r="http://schemas.openxmlformats.org/officeDocument/2006/relationships" name="10_Emergentes" sheetId="11" r:id="Rdfa7b5dad8be48ac"/>
    <x:sheet xmlns:r="http://schemas.openxmlformats.org/officeDocument/2006/relationships" name="11_EPN_Senales" sheetId="12" r:id="R5de3a67f707b4e67"/>
    <x:sheet xmlns:r="http://schemas.openxmlformats.org/officeDocument/2006/relationships" name="12_Cruce_Benchmark_EPN" sheetId="13" r:id="R5c68773e773e464b"/>
    <x:sheet xmlns:r="http://schemas.openxmlformats.org/officeDocument/2006/relationships" name="13_Experiencias" sheetId="14" r:id="R2e7ce5b32c1a44f4"/>
    <x:sheet xmlns:r="http://schemas.openxmlformats.org/officeDocument/2006/relationships" name="14_Formativa" sheetId="15" r:id="R5399aa8017ba4104"/>
    <x:sheet xmlns:r="http://schemas.openxmlformats.org/officeDocument/2006/relationships" name="15_Revision_17" sheetId="16" r:id="R76041a2c30964b4e"/>
    <x:sheet xmlns:r="http://schemas.openxmlformats.org/officeDocument/2006/relationships" name="16_Control" sheetId="17" r:id="R443a88871edf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&quot;%&quot;"/>
    <x:numFmt numFmtId="202" formatCode="0.00"/>
    <x:numFmt numFmtId="203" formatCode="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274E1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11"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83496e2ea411b" /><Relationship Type="http://schemas.openxmlformats.org/officeDocument/2006/relationships/theme" Target="/xl/theme/theme1.xml" Id="R83814d05b2e84c75" /><Relationship Type="http://schemas.openxmlformats.org/officeDocument/2006/relationships/sharedStrings" Target="/xl/sharedStrings.xml" Id="R6cf03924ce694a91" /><Relationship Type="http://schemas.openxmlformats.org/officeDocument/2006/relationships/worksheet" Target="/xl/worksheets/sheet1.xml" Id="R262320518c8d4e8b" /><Relationship Type="http://schemas.openxmlformats.org/officeDocument/2006/relationships/worksheet" Target="/xl/worksheets/sheet2.xml" Id="Re132cb2fbb5c4a6a" /><Relationship Type="http://schemas.openxmlformats.org/officeDocument/2006/relationships/worksheet" Target="/xl/worksheets/sheet3.xml" Id="Ra0a0040a13a146e8" /><Relationship Type="http://schemas.openxmlformats.org/officeDocument/2006/relationships/worksheet" Target="/xl/worksheets/sheet4.xml" Id="Rfc790bd35a8e465e" /><Relationship Type="http://schemas.openxmlformats.org/officeDocument/2006/relationships/worksheet" Target="/xl/worksheets/sheet5.xml" Id="R4d801fb3fdb544b4" /><Relationship Type="http://schemas.openxmlformats.org/officeDocument/2006/relationships/worksheet" Target="/xl/worksheets/sheet6.xml" Id="R034b2efd5fb8478c" /><Relationship Type="http://schemas.openxmlformats.org/officeDocument/2006/relationships/worksheet" Target="/xl/worksheets/sheet7.xml" Id="R7cbd70a6a0b04f6b" /><Relationship Type="http://schemas.openxmlformats.org/officeDocument/2006/relationships/worksheet" Target="/xl/worksheets/sheet8.xml" Id="R9cefd7b1470c4028" /><Relationship Type="http://schemas.openxmlformats.org/officeDocument/2006/relationships/worksheet" Target="/xl/worksheets/sheet9.xml" Id="Rfff2bc055398436b" /><Relationship Type="http://schemas.openxmlformats.org/officeDocument/2006/relationships/worksheet" Target="/xl/worksheets/sheet10.xml" Id="R9e5bc024caef4dc3" /><Relationship Type="http://schemas.openxmlformats.org/officeDocument/2006/relationships/worksheet" Target="/xl/worksheets/sheet11.xml" Id="Rdfa7b5dad8be48ac" /><Relationship Type="http://schemas.openxmlformats.org/officeDocument/2006/relationships/worksheet" Target="/xl/worksheets/sheet12.xml" Id="R5de3a67f707b4e67" /><Relationship Type="http://schemas.openxmlformats.org/officeDocument/2006/relationships/worksheet" Target="/xl/worksheets/sheet13.xml" Id="R5c68773e773e464b" /><Relationship Type="http://schemas.openxmlformats.org/officeDocument/2006/relationships/worksheet" Target="/xl/worksheets/sheet14.xml" Id="R2e7ce5b32c1a44f4" /><Relationship Type="http://schemas.openxmlformats.org/officeDocument/2006/relationships/worksheet" Target="/xl/worksheets/sheet15.xml" Id="R5399aa8017ba4104" /><Relationship Type="http://schemas.openxmlformats.org/officeDocument/2006/relationships/worksheet" Target="/xl/worksheets/sheet16.xml" Id="R76041a2c30964b4e" /><Relationship Type="http://schemas.openxmlformats.org/officeDocument/2006/relationships/worksheet" Target="/xl/worksheets/sheet17.xml" Id="R443a88871edf4b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148e382d03462c" /><Relationship Type="http://schemas.openxmlformats.org/officeDocument/2006/relationships/chart" Target="/xl/drawings/charts/chart2.xml" Id="R3d90d2eec76e408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Familias universales — presencia Core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Presencia Core</c:v>
          </c:tx>
          <c:cat>
            <c:strRef>
              <c:f>'00_Resumen'!$E$4:$E$10</c:f>
              <c:strCache>
                <c:ptCount val="0"/>
              </c:strCache>
            </c:strRef>
          </c:cat>
          <c:val>
            <c:numRef>
              <c:f>'00_Resumen'!$F$4:$F$10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Emergentes — Core vs Ingénieur/Master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Core</c:v>
          </c:tx>
          <c:cat>
            <c:strRef>
              <c:f>'00_Resumen'!$E$14:$E$22</c:f>
              <c:strCache>
                <c:ptCount val="0"/>
              </c:strCache>
            </c:strRef>
          </c:cat>
          <c:val>
            <c:numRef>
              <c:f>'00_Resumen'!$F$14:$F$22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Master</c:v>
          </c:tx>
          <c:cat>
            <c:strRef>
              <c:f>'00_Resumen'!$E$14:$E$22</c:f>
              <c:strCache>
                <c:ptCount val="0"/>
              </c:strCache>
            </c:strRef>
          </c:cat>
          <c:val>
            <c:numRef>
              <c:f>'00_Resumen'!$G$14:$G$22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148e382d03462c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90d2eec76e408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0bdc95293c541bb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58" hidden="0" customWidth="1"/>
    <x:col min="5" max="5" width="38" hidden="0" customWidth="1"/>
    <x:col min="6" max="6" width="15" hidden="0" customWidth="1"/>
    <x:col min="7" max="7" width="15" hidden="0" customWidth="1"/>
  </x:cols>
  <x:sheetData>
    <x:row r="1">
      <x:c r="A1" s="5" t="str">
        <x:v>MATRIZ COMPARATIVA AGRO v1.0 — BENCHMARK CURRICULAR INTERNACIONAL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KPI</x:v>
      </x:c>
      <x:c r="B3" s="14" t="str">
        <x:v>Resultado</x:v>
      </x:c>
      <x:c r="C3" s="14" t="str">
        <x:v>Lectura</x:v>
      </x:c>
      <x:c r="E3" s="14" t="str">
        <x:v>Familia universal</x:v>
      </x:c>
      <x:c r="F3" s="14" t="str">
        <x:v>Presencia Core</x:v>
      </x:c>
    </x:row>
    <x:row r="4">
      <x:c r="A4" s="22" t="str">
        <x:v>Currículos con asignaturas</x:v>
      </x:c>
      <x:c r="B4" s="26" t="n">
        <x:v>21</x:v>
      </x:c>
      <x:c r="C4" s="26" t="str">
        <x:v>Denominador amplio; USC se mantiene fuera por falta de asignaturas.</x:v>
      </x:c>
      <x:c r="E4" t="str">
        <x:v>Cálculo y matemática general</x:v>
      </x:c>
      <x:c r="F4" s="40" t="n">
        <x:v>1</x:v>
      </x:c>
    </x:row>
    <x:row r="5">
      <x:c r="A5" s="22" t="str">
        <x:v>Benchmark principal Core</x:v>
      </x:c>
      <x:c r="B5" s="26" t="n">
        <x:v>13</x:v>
      </x:c>
      <x:c r="C5" s="26" t="str">
        <x:v>Grado/Bachelor directamente comparable.</x:v>
      </x:c>
      <x:c r="E5" t="str">
        <x:v>Física general y aplicada</x:v>
      </x:c>
      <x:c r="F5" s="40" t="n">
        <x:v>1</x:v>
      </x:c>
    </x:row>
    <x:row r="6">
      <x:c r="A6" s="22" t="str">
        <x:v>Asignaturas normalizadas APROBADO</x:v>
      </x:c>
      <x:c r="B6" s="26" t="n">
        <x:v>676</x:v>
      </x:c>
      <x:c r="C6" s="26" t="str">
        <x:v>Los 17 casos REVISAR no entran en frecuencias por familia.</x:v>
      </x:c>
      <x:c r="E6" t="str">
        <x:v>Química general e inorgánica</x:v>
      </x:c>
      <x:c r="F6" s="40" t="n">
        <x:v>1</x:v>
      </x:c>
    </x:row>
    <x:row r="7">
      <x:c r="A7" s="22" t="str">
        <x:v>Familias taxonómicas</x:v>
      </x:c>
      <x:c r="B7" s="26" t="n">
        <x:v>111</x:v>
      </x:c>
      <x:c r="C7" s="26" t="str">
        <x:v>AGRO-NORM-v1.0 congelado.</x:v>
      </x:c>
      <x:c r="E7" t="str">
        <x:v>Operaciones unitarias generales</x:v>
      </x:c>
      <x:c r="F7" s="40" t="n">
        <x:v>0.8461538461538461</x:v>
      </x:c>
    </x:row>
    <x:row r="8">
      <x:c r="A8" s="22" t="str">
        <x:v>Familias universales / núcleo</x:v>
      </x:c>
      <x:c r="B8" s="26" t="n">
        <x:v>7</x:v>
      </x:c>
      <x:c r="C8" s="26" t="str">
        <x:v>&gt;=75% de presencia en el Core.</x:v>
      </x:c>
      <x:c r="E8" t="str">
        <x:v>Gestión y aseguramiento de la calidad</x:v>
      </x:c>
      <x:c r="F8" s="40" t="n">
        <x:v>0.8461538461538461</x:v>
      </x:c>
    </x:row>
    <x:row r="9">
      <x:c r="A9" s="22" t="str">
        <x:v>Familias consolidadas</x:v>
      </x:c>
      <x:c r="B9" s="26" t="n">
        <x:v>12</x:v>
      </x:c>
      <x:c r="C9" s="26" t="str">
        <x:v>50–74.9% de presencia en el Core.</x:v>
      </x:c>
      <x:c r="E9" t="str">
        <x:v>Biología y fisiología</x:v>
      </x:c>
      <x:c r="F9" s="40" t="n">
        <x:v>0.7692307692307693</x:v>
      </x:c>
    </x:row>
    <x:row r="10">
      <x:c r="A10" s="22" t="str">
        <x:v>Familias emergentes</x:v>
      </x:c>
      <x:c r="B10" s="26" t="n">
        <x:v>9</x:v>
      </x:c>
      <x:c r="C10" s="26" t="str">
        <x:v>En grado o apareciendo primero en referentes avanzados.</x:v>
      </x:c>
      <x:c r="E10" t="str">
        <x:v>Microbiología general</x:v>
      </x:c>
      <x:c r="F10" s="40" t="n">
        <x:v>0.7692307692307693</x:v>
      </x:c>
    </x:row>
    <x:row r="11">
      <x:c r="A11" s="22" t="str">
        <x:v>Core con créditos elegibles</x:v>
      </x:c>
      <x:c r="B11" s="26" t="n">
        <x:v>12</x:v>
      </x:c>
      <x:c r="C11" s="26" t="str">
        <x:v>Base del análisis de peso curricular obligatorio.</x:v>
      </x:c>
    </x:row>
    <x:row r="12">
      <x:c r="A12" s="22" t="str">
        <x:v>Casos de normalización en REVISAR</x:v>
      </x:c>
      <x:c r="B12" s="26" t="n">
        <x:v>17</x:v>
      </x:c>
      <x:c r="C12" s="26" t="str">
        <x:v>Se preservan y documentan; no se fuerzan a una familia.</x:v>
      </x:c>
    </x:row>
    <x:row r="13">
      <x:c r="E13" s="14" t="str">
        <x:v>Familia emergente</x:v>
      </x:c>
      <x:c r="F13" s="14" t="str">
        <x:v>Core</x:v>
      </x:c>
      <x:c r="G13" s="14" t="str">
        <x:v>Master</x:v>
      </x:c>
    </x:row>
    <x:row r="14">
      <x:c r="A14" s="14" t="str">
        <x:v>Hallazgo</x:v>
      </x:c>
      <x:c r="B14" s="14" t="str">
        <x:v>Resultado</x:v>
      </x:c>
      <x:c r="C14" s="14" t="str">
        <x:v>Implicación</x:v>
      </x:c>
      <x:c r="E14" t="str">
        <x:v>Sostenibilidad y economía circular</x:v>
      </x:c>
      <x:c r="F14" s="40" t="n">
        <x:v>0.07692307692307693</x:v>
      </x:c>
      <x:c r="G14" s="40" t="n">
        <x:v>0.42857142857142855</x:v>
      </x:c>
    </x:row>
    <x:row r="15">
      <x:c r="A15" s="22" t="str">
        <x:v>Núcleo universal</x:v>
      </x:c>
      <x:c r="B15" s="26" t="str">
        <x:v>Cálculo, Física, Química, Operaciones Unitarias, Calidad, Biología y Microbiología general.</x:v>
      </x:c>
      <x:c r="C15" s="26" t="str">
        <x:v>Base internacional recurrente; la acción EPN depende de cobertura/profundidad actual.</x:v>
      </x:c>
      <x:c r="E15" t="str">
        <x:v>Ciencia de datos, IA y analítica</x:v>
      </x:c>
      <x:c r="F15" s="40" t="n">
        <x:v>0</x:v>
      </x:c>
      <x:c r="G15" s="40" t="n">
        <x:v>0.42857142857142855</x:v>
      </x:c>
    </x:row>
    <x:row r="16">
      <x:c r="A16" s="22" t="str">
        <x:v>Áreas con mayor peso obligatorio</x:v>
      </x:c>
      <x:c r="B16" s="26" t="str">
        <x:v>Biología/Bioquímica/Microbiología 10.9%; Física/Química 10.5%; Matemática/Estadística/Computación 8.6%; Ciencia/Tecnología de Alimentos 8.5%.</x:v>
      </x:c>
      <x:c r="C16" s="26" t="str">
        <x:v>La formación de fundamentos sigue concentrando una fracción importante del currículo Core.</x:v>
      </x:c>
      <x:c r="E16" t="str">
        <x:v>Residuos, subproductos y valorización</x:v>
      </x:c>
      <x:c r="F16" s="40" t="n">
        <x:v>0.3076923076923077</x:v>
      </x:c>
      <x:c r="G16" s="40" t="n">
        <x:v>0.2857142857142857</x:v>
      </x:c>
    </x:row>
    <x:row r="17">
      <x:c r="A17" s="22" t="str">
        <x:v>Práctica profesional</x:v>
      </x:c>
      <x:c r="B17" s="26" t="str">
        <x:v>Presente en 62% del Core y 67% de todos los referentes con asignaturas.</x:v>
      </x:c>
      <x:c r="C17" s="26" t="str">
        <x:v>La comparación internacional coincide con la demanda EPN de mayor articulación empresa–universidad.</x:v>
      </x:c>
      <x:c r="E17" t="str">
        <x:v>Robótica, digitalización e Industria 4.0</x:v>
      </x:c>
      <x:c r="F17" s="40" t="n">
        <x:v>0.23076923076923078</x:v>
      </x:c>
      <x:c r="G17" s="40" t="n">
        <x:v>0.2857142857142857</x:v>
      </x:c>
    </x:row>
    <x:row r="18">
      <x:c r="A18" s="22" t="str">
        <x:v>Digitalización/Industria 4.0</x:v>
      </x:c>
      <x:c r="B18" s="26" t="str">
        <x:v>F0906 aparece en 23% Core y 29% Master.</x:v>
      </x:c>
      <x:c r="C18" s="26" t="str">
        <x:v>Tendencia emergente en grado y señal EPN alta.</x:v>
      </x:c>
      <x:c r="E18" t="str">
        <x:v>Análisis de ciclo de vida y ecodiseño</x:v>
      </x:c>
      <x:c r="F18" s="40" t="n">
        <x:v>0.15384615384615385</x:v>
      </x:c>
      <x:c r="G18" s="40" t="n">
        <x:v>0.14285714285714285</x:v>
      </x:c>
    </x:row>
    <x:row r="19">
      <x:c r="A19" s="22" t="str">
        <x:v>Ciencia de datos/IA</x:v>
      </x:c>
      <x:c r="B19" s="26" t="str">
        <x:v>F0108 aparece en 0% Core pero 43% de los referentes Ingénieur/Master.</x:v>
      </x:c>
      <x:c r="C19" s="26" t="str">
        <x:v>Señal de emergencia desde nivel avanzado; coincide con la prioridad más fuerte de graduados EPN.</x:v>
      </x:c>
      <x:c r="E19" t="str">
        <x:v>Desarrollo e innovación de productos alimentarios</x:v>
      </x:c>
      <x:c r="F19" s="40" t="n">
        <x:v>0.38461538461538464</x:v>
      </x:c>
      <x:c r="G19" s="40" t="n">
        <x:v>0.5714285714285714</x:v>
      </x:c>
    </x:row>
    <x:row r="20">
      <x:c r="A20" s="22" t="str">
        <x:v>Sostenibilidad/circularidad</x:v>
      </x:c>
      <x:c r="B20" s="26" t="str">
        <x:v>F1105 aparece en 8% Core y 43% Master; ACV/ecodiseño y valorización ya aparecen en grado.</x:v>
      </x:c>
      <x:c r="C20" s="26" t="str">
        <x:v>La modernización parece desplazarse desde referentes avanzados hacia el grado.</x:v>
      </x:c>
      <x:c r="E20" t="str">
        <x:v>Investigación y desarrollo aplicado</x:v>
      </x:c>
      <x:c r="F20" s="40" t="n">
        <x:v>0</x:v>
      </x:c>
      <x:c r="G20" s="40" t="n">
        <x:v>0.2857142857142857</x:v>
      </x:c>
    </x:row>
    <x:row r="21">
      <x:c r="A21" s="22" t="str">
        <x:v>Limitación EPN</x:v>
      </x:c>
      <x:c r="B21" s="26" t="str">
        <x:v>La malla AGRO EPN no está integrada en esta Base Maestra.</x:v>
      </x:c>
      <x:c r="C21" s="26" t="str">
        <x:v>La matriz prioriza qué comparar, pero no declara aún qué materia EPN eliminar, mantener o añadir.</x:v>
      </x:c>
      <x:c r="E21" t="str">
        <x:v>Emprendimiento y modelos de negocio</x:v>
      </x:c>
      <x:c r="F21" s="40" t="n">
        <x:v>0.23076923076923078</x:v>
      </x:c>
      <x:c r="G21" s="40" t="n">
        <x:v>0.14285714285714285</x:v>
      </x:c>
    </x:row>
    <x:row r="22">
      <x:c r="E22" t="str">
        <x:v>Conservación de alimentos y tecnologías emergentes</x:v>
      </x:c>
      <x:c r="F22" s="40" t="n">
        <x:v>0.38461538461538464</x:v>
      </x:c>
      <x:c r="G22" s="40" t="n"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0bdc95293c541bb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76" hidden="0" customWidth="1"/>
    <x:col min="5" max="5" width="22" hidden="0" customWidth="1"/>
    <x:col min="6" max="6" width="12" hidden="0" customWidth="1"/>
  </x:cols>
  <x:sheetData>
    <x:row r="1">
      <x:c r="A1" s="5" t="str">
        <x:v>MATRIZ COMPARATIVA AGRO — METODOLOGÍA ANALÍTICA v1.0</x:v>
      </x:c>
      <x:c r="B1" s="5"/>
      <x:c r="C1" s="5"/>
      <x:c r="D1" s="5"/>
      <x:c r="E1" s="5"/>
      <x:c r="F1" s="5"/>
    </x:row>
    <x:row r="3">
      <x:c r="A3" s="14" t="str">
        <x:v>Parámetro</x:v>
      </x:c>
      <x:c r="B3" s="14" t="str">
        <x:v>Valor</x:v>
      </x:c>
      <x:c r="C3" s="14" t="str">
        <x:v>Regla / justificación</x:v>
      </x:c>
      <x:c r="E3" s="14" t="str">
        <x:v>Denominador</x:v>
      </x:c>
      <x:c r="F3" s="14" t="str">
        <x:v>N</x:v>
      </x:c>
    </x:row>
    <x:row r="4">
      <x:c r="A4" s="22" t="str">
        <x:v>Base de datos</x:v>
      </x:c>
      <x:c r="B4" s="26" t="str">
        <x:v>Base_Maestra_AGRO_v1_0_NORMALIZADA_AUDITADA.xlsx</x:v>
      </x:c>
      <x:c r="C4" s="26" t="str">
        <x:v>Solo asignaturas con Estado_Normalizacion_Final=APROBADO participan en métricas por familia.</x:v>
      </x:c>
      <x:c r="E4" t="str">
        <x:v>Todos</x:v>
      </x:c>
      <x:c r="F4" t="n">
        <x:v>21</x:v>
      </x:c>
    </x:row>
    <x:row r="5">
      <x:c r="A5" s="22" t="str">
        <x:v>Normalizador</x:v>
      </x:c>
      <x:c r="B5" s="26" t="str">
        <x:v>AGRO-NORM-v1.0 congelado</x:v>
      </x:c>
      <x:c r="C5" s="26" t="str">
        <x:v>No se crean nuevas familias en esta fase.</x:v>
      </x:c>
      <x:c r="E5" t="str">
        <x:v>Bachelor</x:v>
      </x:c>
      <x:c r="F5" t="n">
        <x:v>14</x:v>
      </x:c>
    </x:row>
    <x:row r="6">
      <x:c r="A6" s="22" t="str">
        <x:v>Todos los currículos con asignaturas</x:v>
      </x:c>
      <x:c r="B6" s="26" t="n">
        <x:v>21</x:v>
      </x:c>
      <x:c r="C6" s="26" t="str">
        <x:v>USC queda fuera del denominador de familias porque no contiene asignaturas en la Base Maestra.</x:v>
      </x:c>
      <x:c r="E6" t="str">
        <x:v>Core</x:v>
      </x:c>
      <x:c r="F6" t="n">
        <x:v>13</x:v>
      </x:c>
    </x:row>
    <x:row r="7">
      <x:c r="A7" s="22" t="str">
        <x:v>Bachelor con asignaturas</x:v>
      </x:c>
      <x:c r="B7" s="26" t="n">
        <x:v>14</x:v>
      </x:c>
      <x:c r="C7" s="26" t="str">
        <x:v>Incluye el referente agrario parcial de Sevilla.</x:v>
      </x:c>
      <x:c r="E7" t="str">
        <x:v>Master</x:v>
      </x:c>
      <x:c r="F7" t="n">
        <x:v>7</x:v>
      </x:c>
    </x:row>
    <x:row r="8">
      <x:c r="A8" s="22" t="str">
        <x:v>Benchmark principal Core</x:v>
      </x:c>
      <x:c r="B8" s="26" t="n">
        <x:v>13</x:v>
      </x:c>
      <x:c r="C8" s="26" t="str">
        <x:v>Grado/Bachelor con asignaturas y sin la bandera de comparabilidad temática parcial.</x:v>
      </x:c>
      <x:c r="E8" t="str">
        <x:v>Core créditos</x:v>
      </x:c>
      <x:c r="F8" t="n">
        <x:v>12</x:v>
      </x:c>
    </x:row>
    <x:row r="9">
      <x:c r="A9" s="22" t="str">
        <x:v>Benchmark Core con créditos elegibles</x:v>
      </x:c>
      <x:c r="B9" s="26" t="n">
        <x:v>12</x:v>
      </x:c>
      <x:c r="C9" s="26" t="str">
        <x:v>Usado para peso curricular. Se excluyen datasets sin crédito granular suficiente.</x:v>
      </x:c>
    </x:row>
    <x:row r="10">
      <x:c r="A10" s="22" t="str">
        <x:v>Referentes Ingénieur/Master</x:v>
      </x:c>
      <x:c r="B10" s="26" t="n">
        <x:v>7</x:v>
      </x:c>
      <x:c r="C10" s="26" t="str">
        <x:v>Se analizan por separado; no se mezclan como equivalentes directos del grado.</x:v>
      </x:c>
    </x:row>
    <x:row r="11">
      <x:c r="A11" s="22" t="str">
        <x:v>Presencia familia</x:v>
      </x:c>
      <x:c r="B11" s="26" t="str">
        <x:v>Principal + secundaria declarada por normalización</x:v>
      </x:c>
      <x:c r="C11" s="26" t="str">
        <x:v>Una familia secundaria cuenta como cobertura temática, pero no recibe el crédito completo.</x:v>
      </x:c>
    </x:row>
    <x:row r="12">
      <x:c r="A12" s="22" t="str">
        <x:v>Peso por créditos</x:v>
      </x:c>
      <x:c r="B12" s="26" t="str">
        <x:v>Solo familia principal de asignaturas obligatorias</x:v>
      </x:c>
      <x:c r="C12" s="26" t="str">
        <x:v>Evita doble conteo y evita sumar todo el catálogo de optativas.</x:v>
      </x:c>
    </x:row>
    <x:row r="13">
      <x:c r="A13" s="22" t="str">
        <x:v>Código de presencia</x:v>
      </x:c>
      <x:c r="B13" s="26" t="n">
        <x:v>2</x:v>
      </x:c>
      <x:c r="C13" s="26" t="str">
        <x:v>2=presencia obligatoria; 1=solo optativa/disponible; 0=ausente.</x:v>
      </x:c>
    </x:row>
    <x:row r="14">
      <x:c r="A14" s="22" t="str">
        <x:v>Universal / núcleo</x:v>
      </x:c>
      <x:c r="B14" s="26" t="str">
        <x:v>&gt;=75% del benchmark Core</x:v>
      </x:c>
      <x:c r="C14" s="26" t="str">
        <x:v>Familia presente en al menos tres cuartas partes del benchmark principal.</x:v>
      </x:c>
    </x:row>
    <x:row r="15">
      <x:c r="A15" s="22" t="str">
        <x:v>Consolidada</x:v>
      </x:c>
      <x:c r="B15" s="26" t="str">
        <x:v>50%–74.9% Core</x:v>
      </x:c>
      <x:c r="C15" s="26" t="str">
        <x:v>Familia ampliamente difundida, pero no universal.</x:v>
      </x:c>
    </x:row>
    <x:row r="16">
      <x:c r="A16" s="22" t="str">
        <x:v>Selectiva</x:v>
      </x:c>
      <x:c r="B16" s="26" t="str">
        <x:v>25%–49.9% Core</x:v>
      </x:c>
      <x:c r="C16" s="26" t="str">
        <x:v>Familia de presencia selectiva.</x:v>
      </x:c>
    </x:row>
    <x:row r="17">
      <x:c r="A17" s="22" t="str">
        <x:v>Baja prevalencia</x:v>
      </x:c>
      <x:c r="B17" s="26" t="str">
        <x:v>&lt;25% Core</x:v>
      </x:c>
      <x:c r="C17" s="26" t="str">
        <x:v>No implica irrelevancia; puede ser emergente o de especialización.</x:v>
      </x:c>
    </x:row>
    <x:row r="18">
      <x:c r="A18" s="22" t="str">
        <x:v>Emergente en grado</x:v>
      </x:c>
      <x:c r="B18" s="26" t="str">
        <x:v>Familia futura + 2–6 Core + primera aparición mediana &gt;=45%</x:v>
      </x:c>
      <x:c r="C18" s="26" t="str">
        <x:v>Señal analítica; no declaración institucional.</x:v>
      </x:c>
    </x:row>
    <x:row r="19">
      <x:c r="A19" s="22" t="str">
        <x:v>Emergente desde nivel avanzado</x:v>
      </x:c>
      <x:c r="B19" s="26" t="str">
        <x:v>Familia futura + &lt;=1 Core + &gt;=2 Ingénieur/Master</x:v>
      </x:c>
      <x:c r="C19" s="26" t="str">
        <x:v>Tendencia que aparece primero en referentes avanzados.</x:v>
      </x:c>
    </x:row>
    <x:row r="20">
      <x:c r="A20" s="22" t="str">
        <x:v>Posición curricular</x:v>
      </x:c>
      <x:c r="B20" s="26" t="str">
        <x:v>Primera aparición mediana relativa (%)</x:v>
      </x:c>
      <x:c r="C20" s="26" t="str">
        <x:v>Permite comparar programas de 3, 4 y 5 años.</x:v>
      </x:c>
    </x:row>
    <x:row r="21">
      <x:c r="A21" s="22" t="str">
        <x:v>Profundidad</x:v>
      </x:c>
      <x:c r="B21" s="26" t="str">
        <x:v>Máximo N0–N4 por currículo, luego mediana</x:v>
      </x:c>
      <x:c r="C21" s="26" t="str">
        <x:v>NR no se imputa.</x:v>
      </x:c>
    </x:row>
    <x:row r="22">
      <x:c r="A22" s="22" t="str">
        <x:v>Capa EPN</x:v>
      </x:c>
      <x:c r="B22" s="26" t="str">
        <x:v>Graduados + empleadores, separada del benchmark</x:v>
      </x:c>
      <x:c r="C22" s="26" t="str">
        <x:v>No se usa el feedback EPN para clasificar una familia internacional.</x:v>
      </x:c>
    </x:row>
    <x:row r="23">
      <x:c r="A23" s="22" t="str">
        <x:v>Acción EPN</x:v>
      </x:c>
      <x:c r="B23" s="26" t="str">
        <x:v>PENDIENTE_MAPEO_MALLA_EPN</x:v>
      </x:c>
      <x:c r="C23" s="26" t="str">
        <x:v>La matriz prioriza qué revisar; no declara añadir/eliminar sin la malla AGRO EPN integrada.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18" hidden="0" customWidth="1"/>
    <x:col min="7" max="7" width="18" hidden="0" customWidth="1"/>
    <x:col min="8" max="8" width="30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48" hidden="0" customWidth="1"/>
    <x:col min="14" max="14" width="48" hidden="0" customWidth="1"/>
  </x:cols>
  <x:sheetData>
    <x:row r="1">
      <x:c r="A1" s="14" t="str">
        <x:v>Grupo</x:v>
      </x:c>
      <x:c r="B1" s="14" t="str">
        <x:v>Orden</x:v>
      </x:c>
      <x:c r="C1" s="14" t="str">
        <x:v>Codigo_Dataset</x:v>
      </x:c>
      <x:c r="D1" s="14" t="str">
        <x:v>ID_Curriculo_Unico</x:v>
      </x:c>
      <x:c r="E1" s="14" t="str">
        <x:v>Programa</x:v>
      </x:c>
      <x:c r="F1" s="14" t="str">
        <x:v>Nivel</x:v>
      </x:c>
      <x:c r="G1" s="14" t="str">
        <x:v>Alcance</x:v>
      </x:c>
      <x:c r="H1" s="14" t="str">
        <x:v>Tipo_Referente</x:v>
      </x:c>
      <x:c r="I1" s="14" t="str">
        <x:v>Decision_Integracion</x:v>
      </x:c>
      <x:c r="J1" s="14" t="str">
        <x:v>Elegible_Creditos</x:v>
      </x:c>
      <x:c r="K1" s="14" t="str">
        <x:v>Creditos_Totales</x:v>
      </x:c>
      <x:c r="L1" s="14" t="str">
        <x:v>Sistema_Creditos</x:v>
      </x:c>
      <x:c r="M1" s="14" t="str">
        <x:v>URL_Programa</x:v>
      </x:c>
      <x:c r="N1" s="14" t="str">
        <x:v>Observacion</x:v>
      </x:c>
    </x:row>
    <x:row r="2">
      <x:c r="A2" s="26" t="str">
        <x:v>CORE_BACHELOR</x:v>
      </x:c>
      <x:c r="B2" s="26" t="n">
        <x:v>1</x:v>
      </x:c>
      <x:c r="C2" s="26" t="str">
        <x:v>UPM</x:v>
      </x:c>
      <x:c r="D2" s="26" t="str">
        <x:v>CUR_AGRO_UPM</x:v>
      </x:c>
      <x:c r="E2" s="26" t="str">
        <x:v>Grado en Ingeniería Alimentaria</x:v>
      </x:c>
      <x:c r="F2" s="26" t="str">
        <x:v>Grado/Bachelor</x:v>
      </x:c>
      <x:c r="G2" s="26" t="str">
        <x:v>Programa completo</x:v>
      </x:c>
      <x:c r="H2" s="26" t="str">
        <x:v>Título completo comparable</x:v>
      </x:c>
      <x:c r="I2" s="26" t="str">
        <x:v>INTEGRAR</x:v>
      </x:c>
      <x:c r="J2" s="26" t="str">
        <x:v>Sí</x:v>
      </x:c>
      <x:c r="K2" s="26" t="n">
        <x:v>240</x:v>
      </x:c>
      <x:c r="L2" s="26" t="str">
        <x:v>ECTS</x:v>
      </x:c>
      <x:c r="M2" s="26" t="str">
        <x:v>https://www.etsiaab.upm.es/Docencia/Grados/IngAlimentaria</x:v>
      </x:c>
      <x:c r="N2" s="26" t="str">
        <x:v>Sin restricción estructural; mantener limitación de contenidos/carga donde la fuente no publica guías granulares.</x:v>
      </x:c>
    </x:row>
    <x:row r="3">
      <x:c r="A3" s="26" t="str">
        <x:v>CORE_BACHELOR</x:v>
      </x:c>
      <x:c r="B3" s="26" t="n">
        <x:v>2</x:v>
      </x:c>
      <x:c r="C3" s="26" t="str">
        <x:v>USAL</x:v>
      </x:c>
      <x:c r="D3" s="26" t="str">
        <x:v>CUR_AGRO_USAL</x:v>
      </x:c>
      <x:c r="E3" s="26" t="str">
        <x:v>Grado en Ingeniería Agroalimentaria — Plan 2026</x:v>
      </x:c>
      <x:c r="F3" s="26" t="str">
        <x:v>Grado/Bachelor</x:v>
      </x:c>
      <x:c r="G3" s="26" t="str">
        <x:v>Programa completo</x:v>
      </x:c>
      <x:c r="H3" s="26" t="str">
        <x:v>Título completo comparable</x:v>
      </x:c>
      <x:c r="I3" s="26" t="str">
        <x:v>INTEGRAR</x:v>
      </x:c>
      <x:c r="J3" s="26" t="str">
        <x:v>Sí</x:v>
      </x:c>
      <x:c r="K3" s="26" t="n">
        <x:v>240</x:v>
      </x:c>
      <x:c r="L3" s="26" t="str">
        <x:v>ECTS</x:v>
      </x:c>
      <x:c r="M3" s="26" t="str">
        <x:v>https://usal.es/grado-en-ingenieria-agroalimentaria</x:v>
      </x:c>
      <x:c r="N3" s="26" t="str">
        <x:v>No sumar catálogo optativo completo; usar requisito curricular.</x:v>
      </x:c>
    </x:row>
    <x:row r="4">
      <x:c r="A4" s="26" t="str">
        <x:v>CORE_BACHELOR</x:v>
      </x:c>
      <x:c r="B4" s="26" t="n">
        <x:v>3</x:v>
      </x:c>
      <x:c r="C4" s="26" t="str">
        <x:v>UPC</x:v>
      </x:c>
      <x:c r="D4" s="26" t="str">
        <x:v>CUR_AGRO_UPC</x:v>
      </x:c>
      <x:c r="E4" s="26" t="str">
        <x:v>Grau en Enginyeria Alimentària — EEABB</x:v>
      </x:c>
      <x:c r="F4" s="26" t="str">
        <x:v>Grado/Bachelor</x:v>
      </x:c>
      <x:c r="G4" s="26" t="str">
        <x:v>Programa completo</x:v>
      </x:c>
      <x:c r="H4" s="26" t="str">
        <x:v>Título completo comparable</x:v>
      </x:c>
      <x:c r="I4" s="26" t="str">
        <x:v>INTEGRAR</x:v>
      </x:c>
      <x:c r="J4" s="26" t="str">
        <x:v>Sí</x:v>
      </x:c>
      <x:c r="K4" s="26" t="n">
        <x:v>240</x:v>
      </x:c>
      <x:c r="L4" s="26" t="str">
        <x:v>ECTS</x:v>
      </x:c>
      <x:c r="M4" s="26" t="str">
        <x:v>https://www.upc.edu/ca/graus/enginyeria-alimentaria-castelldefels-eeabb</x:v>
      </x:c>
      <x:c r="N4" s="26" t="str">
        <x:v>Distinguir oferta optativa de requisito efectivo.</x:v>
      </x:c>
    </x:row>
    <x:row r="5">
      <x:c r="A5" s="26" t="str">
        <x:v>CORE_BACHELOR</x:v>
      </x:c>
      <x:c r="B5" s="26" t="n">
        <x:v>4</x:v>
      </x:c>
      <x:c r="C5" s="26" t="str">
        <x:v>UCO</x:v>
      </x:c>
      <x:c r="D5" s="26" t="str">
        <x:v>CUR_AGRO_UCO</x:v>
      </x:c>
      <x:c r="E5" s="26" t="str">
        <x:v>Grado en Ingeniería Agroalimentaria y del Medio Rural — Mención Ingeniería Alimentaria</x:v>
      </x:c>
      <x:c r="F5" s="26" t="str">
        <x:v>Grado/Bachelor</x:v>
      </x:c>
      <x:c r="G5" s="26" t="str">
        <x:v>Mención / especialidad</x:v>
      </x:c>
      <x:c r="H5" s="26" t="str">
        <x:v>Título completo / mención Ingeniería Alimentaria</x:v>
      </x:c>
      <x:c r="I5" s="26" t="str">
        <x:v>INTEGRAR</x:v>
      </x:c>
      <x:c r="J5" s="26" t="str">
        <x:v>Sí</x:v>
      </x:c>
      <x:c r="K5" s="26" t="n">
        <x:v>240</x:v>
      </x:c>
      <x:c r="L5" s="26" t="str">
        <x:v>ECTS</x:v>
      </x:c>
      <x:c r="M5" s="26" t="str">
        <x:v>https://www.uco.es/etsiam/es/planificacion-guias-agroalimentaria</x:v>
      </x:c>
      <x:c r="N5" s="26" t="str">
        <x:v>Alta calidad estructural; cobertura formativa de asignatura disponible en un subconjunto de guías 2026/27.</x:v>
      </x:c>
    </x:row>
    <x:row r="6">
      <x:c r="A6" s="26" t="str">
        <x:v>CORE_BACHELOR</x:v>
      </x:c>
      <x:c r="B6" s="26" t="n">
        <x:v>5</x:v>
      </x:c>
      <x:c r="C6" s="26" t="str">
        <x:v>UMH</x:v>
      </x:c>
      <x:c r="D6" s="26" t="str">
        <x:v>CUR_AGRO_UMH</x:v>
      </x:c>
      <x:c r="E6" s="26" t="str">
        <x:v>Grado en Ingeniería Agroalimentaria y Agroambiental — segunda atribución Industrias Agrarias y Alimentarias</x:v>
      </x:c>
      <x:c r="F6" s="26" t="str">
        <x:v>Grado/Bachelor</x:v>
      </x:c>
      <x:c r="G6" s="26" t="str">
        <x:v>Itinerario / segunda atribución</x:v>
      </x:c>
      <x:c r="H6" s="26" t="str">
        <x:v>Título completo / segunda atribución IAA</x:v>
      </x:c>
      <x:c r="I6" s="26" t="str">
        <x:v>INTEGRAR CON RESTRICCIÓN</x:v>
      </x:c>
      <x:c r="J6" s="26" t="str">
        <x:v>No</x:v>
      </x:c>
      <x:c r="K6" s="26" t="n">
        <x:v>240</x:v>
      </x:c>
      <x:c r="L6" s="26" t="str">
        <x:v>ECTS</x:v>
      </x:c>
      <x:c r="M6" s="26" t="str">
        <x:v>https://ingagroalimentaria.umh.es/</x:v>
      </x:c>
      <x:c r="N6" s="26" t="str">
        <x:v>Excluir de análisis cuantitativo de ECTS por asignatura hasta recuperar créditos granulares; estructura y perfil sí son utilizables.</x:v>
      </x:c>
    </x:row>
    <x:row r="7">
      <x:c r="A7" s="26" t="str">
        <x:v>CORE_BACHELOR</x:v>
      </x:c>
      <x:c r="B7" s="26" t="n">
        <x:v>6</x:v>
      </x:c>
      <x:c r="C7" s="26" t="str">
        <x:v>IPLEIRIA</x:v>
      </x:c>
      <x:c r="D7" s="26" t="str">
        <x:v>CUR_AGRO_PT_EA_JOINT_IPB_IPL_IPVC</x:v>
      </x:c>
      <x:c r="E7" s="26" t="str">
        <x:v>Licenciatura em Engenharia Alimentar — título conjunto IPB/IPLeiria/IPVC</x:v>
      </x:c>
      <x:c r="F7" s="26" t="str">
        <x:v>Grado/Bachelor</x:v>
      </x:c>
      <x:c r="G7" s="26" t="str">
        <x:v>Programa conjunto completo</x:v>
      </x:c>
      <x:c r="H7" s="26" t="str">
        <x:v>Licenciatura conjunta IPB–IPLeiria–IPVC</x:v>
      </x:c>
      <x:c r="I7" s="26" t="str">
        <x:v>INTEGRAR COMO PROGRAMA CONJUNTO</x:v>
      </x:c>
      <x:c r="J7" s="26" t="str">
        <x:v>Sí</x:v>
      </x:c>
      <x:c r="K7" s="26" t="n">
        <x:v>180</x:v>
      </x:c>
      <x:c r="L7" s="26" t="str">
        <x:v>ECTS</x:v>
      </x:c>
      <x:c r="M7" s="26" t="str">
        <x:v>https://www.ipleiria.pt/curso/licenciatura-em-engenharia-alimentar/</x:v>
      </x:c>
      <x:c r="N7" s="26" t="str">
        <x:v>No contar como currículo independiente; relacionar una sola malla conjunta con tres instituciones.</x:v>
      </x:c>
    </x:row>
    <x:row r="8">
      <x:c r="A8" s="26" t="str">
        <x:v>CORE_BACHELOR</x:v>
      </x:c>
      <x:c r="B8" s="26" t="n">
        <x:v>7</x:v>
      </x:c>
      <x:c r="C8" s="26" t="str">
        <x:v>ISA</x:v>
      </x:c>
      <x:c r="D8" s="26" t="str">
        <x:v>CUR_AGRO_ISA</x:v>
      </x:c>
      <x:c r="E8" s="26" t="str">
        <x:v>Licenciatura Bolonha em Engenharia Alimentar</x:v>
      </x:c>
      <x:c r="F8" s="26" t="str">
        <x:v>Grado/Bachelor</x:v>
      </x:c>
      <x:c r="G8" s="26" t="str">
        <x:v>Programa completo</x:v>
      </x:c>
      <x:c r="H8" s="26" t="str">
        <x:v>Licenciatura completa comparable</x:v>
      </x:c>
      <x:c r="I8" s="26" t="str">
        <x:v>INTEGRAR</x:v>
      </x:c>
      <x:c r="J8" s="26" t="str">
        <x:v>Sí</x:v>
      </x:c>
      <x:c r="K8" s="26" t="n">
        <x:v>180</x:v>
      </x:c>
      <x:c r="L8" s="26" t="str">
        <x:v>ECTS</x:v>
      </x:c>
      <x:c r="M8" s="26" t="str">
        <x:v>https://fenix.isa.ulisboa.pt/degrees/lealim/curriculo</x:v>
      </x:c>
      <x:c r="N8" s="26" t="str">
        <x:v>Malla completa con ECTS y horas de contacto.</x:v>
      </x:c>
    </x:row>
    <x:row r="9">
      <x:c r="A9" s="26" t="str">
        <x:v>CORE_BACHELOR</x:v>
      </x:c>
      <x:c r="B9" s="26" t="n">
        <x:v>8</x:v>
      </x:c>
      <x:c r="C9" s="26" t="str">
        <x:v>ESAV</x:v>
      </x:c>
      <x:c r="D9" s="26" t="str">
        <x:v>CUR_AGRO_ESAV</x:v>
      </x:c>
      <x:c r="E9" s="26" t="str">
        <x:v>Licenciatura em Engenharia Alimentar</x:v>
      </x:c>
      <x:c r="F9" s="26" t="str">
        <x:v>Grado/Bachelor</x:v>
      </x:c>
      <x:c r="G9" s="26" t="str">
        <x:v>Programa completo</x:v>
      </x:c>
      <x:c r="H9" s="26" t="str">
        <x:v>Licenciatura completa comparable</x:v>
      </x:c>
      <x:c r="I9" s="26" t="str">
        <x:v>INTEGRAR</x:v>
      </x:c>
      <x:c r="J9" s="26" t="str">
        <x:v>Sí</x:v>
      </x:c>
      <x:c r="K9" s="26" t="n">
        <x:v>180</x:v>
      </x:c>
      <x:c r="L9" s="26" t="str">
        <x:v>ECTS</x:v>
      </x:c>
      <x:c r="M9" s="26" t="str">
        <x:v>https://esav.ipv.pt/estudar/engenharia-alimentar/</x:v>
      </x:c>
      <x:c r="N9" s="26" t="str">
        <x:v>Nuevo plan 2026/27 completo con ECTS y horas de contacto.</x:v>
      </x:c>
    </x:row>
    <x:row r="10">
      <x:c r="A10" s="26" t="str">
        <x:v>CORE_BACHELOR</x:v>
      </x:c>
      <x:c r="B10" s="26" t="n">
        <x:v>9</x:v>
      </x:c>
      <x:c r="C10" s="26" t="str">
        <x:v>UNIBO</x:v>
      </x:c>
      <x:c r="D10" s="26" t="str">
        <x:v>CUR_AGRO_UNIBO</x:v>
      </x:c>
      <x:c r="E10" s="26" t="str">
        <x:v>Laurea in Tecnologie Alimentari — codice 6629</x:v>
      </x:c>
      <x:c r="F10" s="26" t="str">
        <x:v>Grado/Bachelor</x:v>
      </x:c>
      <x:c r="G10" s="26" t="str">
        <x:v>Programa completo</x:v>
      </x:c>
      <x:c r="H10" s="26" t="str">
        <x:v>Laurea L-26 completa comparable</x:v>
      </x:c>
      <x:c r="I10" s="26" t="str">
        <x:v>INTEGRAR</x:v>
      </x:c>
      <x:c r="J10" s="26" t="str">
        <x:v>Sí</x:v>
      </x:c>
      <x:c r="K10" s="26" t="n">
        <x:v>180</x:v>
      </x:c>
      <x:c r="L10" s="26" t="str">
        <x:v>CFU/ECTS</x:v>
      </x:c>
      <x:c r="M10" s="26" t="str">
        <x:v>https://corsi.unibo.it/laurea/TecnologieAlimentari/insegnamenti/piano/2026/6629/000/000/2026</x:v>
      </x:c>
      <x:c r="N10" s="26" t="str">
        <x:v>Excluir de oferta activa las actividades marcadas non attivo; evitar doble conteo de cursos integrados.</x:v>
      </x:c>
    </x:row>
    <x:row r="11">
      <x:c r="A11" s="26" t="str">
        <x:v>CORE_BACHELOR</x:v>
      </x:c>
      <x:c r="B11" s="26" t="n">
        <x:v>10</x:v>
      </x:c>
      <x:c r="C11" s="26" t="str">
        <x:v>UNIFG</x:v>
      </x:c>
      <x:c r="D11" s="26" t="str">
        <x:v>CUR_AGRO_UNIFG</x:v>
      </x:c>
      <x:c r="E11" s="26" t="str">
        <x:v>Laurea in Scienze e Tecnologie Alimentari — codice 1252</x:v>
      </x:c>
      <x:c r="F11" s="26" t="str">
        <x:v>Grado/Bachelor</x:v>
      </x:c>
      <x:c r="G11" s="26" t="str">
        <x:v>Programa completo</x:v>
      </x:c>
      <x:c r="H11" s="26" t="str">
        <x:v>Laurea L-26 completa comparable</x:v>
      </x:c>
      <x:c r="I11" s="26" t="str">
        <x:v>INTEGRAR</x:v>
      </x:c>
      <x:c r="J11" s="26" t="str">
        <x:v>Sí</x:v>
      </x:c>
      <x:c r="K11" s="26" t="n">
        <x:v>180</x:v>
      </x:c>
      <x:c r="L11" s="26" t="str">
        <x:v>CFU/ECTS</x:v>
      </x:c>
      <x:c r="M11" s="26" t="str">
        <x:v>https://www.unifg.it/it/studiare/corsi-di-laurea/lauree-triennali-e-ciclo-unico/scienze-e-tecnologie-alimentari</x:v>
      </x:c>
      <x:c r="N11" s="26" t="str">
        <x:v>Regolamento 2026/27 granular; cursos integrados deben permanecer como una unidad con componentes.</x:v>
      </x:c>
    </x:row>
    <x:row r="12">
      <x:c r="A12" s="26" t="str">
        <x:v>CORE_BACHELOR</x:v>
      </x:c>
      <x:c r="B12" s="26" t="n">
        <x:v>11</x:v>
      </x:c>
      <x:c r="C12" s="26" t="str">
        <x:v>UNICUSANO</x:v>
      </x:c>
      <x:c r="D12" s="26" t="str">
        <x:v>CUR_AGRO_UNICUSANO</x:v>
      </x:c>
      <x:c r="E12" s="26" t="str">
        <x:v>Laurea Triennale in Ingegneria Industriale L-9 — curriculum Agroindustriale</x:v>
      </x:c>
      <x:c r="F12" s="26" t="str">
        <x:v>Grado/Bachelor</x:v>
      </x:c>
      <x:c r="G12" s="26" t="str">
        <x:v>Programa completo</x:v>
      </x:c>
      <x:c r="H12" s="26" t="str">
        <x:v>Laurea L-9 curriculum Agroindustriale</x:v>
      </x:c>
      <x:c r="I12" s="26" t="str">
        <x:v>INTEGRAR CON BANDERA</x:v>
      </x:c>
      <x:c r="J12" s="26" t="str">
        <x:v>Sí</x:v>
      </x:c>
      <x:c r="K12" s="26" t="n">
        <x:v>180</x:v>
      </x:c>
      <x:c r="L12" s="26" t="str">
        <x:v>CFU/ECTS</x:v>
      </x:c>
      <x:c r="M12" s="26" t="str">
        <x:v>https://www.unicusano.it/ingegneria/piano-di-studi-ingegneria-industriale-curriculum-agroindustriale-l-9</x:v>
      </x:c>
      <x:c r="N12" s="26" t="str">
        <x:v>Versión oficial recuperada 2025/26; conservar inconsistencia de propedeuticità sin inventar equivalencia.</x:v>
      </x:c>
    </x:row>
    <x:row r="13">
      <x:c r="A13" s="26" t="str">
        <x:v>CORE_BACHELOR</x:v>
      </x:c>
      <x:c r="B13" s="26" t="n">
        <x:v>12</x:v>
      </x:c>
      <x:c r="C13" s="26" t="str">
        <x:v>HOHENHEIM</x:v>
      </x:c>
      <x:c r="D13" s="26" t="str">
        <x:v>CUR_AGRO_HOHENHEIM</x:v>
      </x:c>
      <x:c r="E13" s="26" t="str">
        <x:v>B.Sc. Food Science and Biotechnology / Lebensmittelwissenschaft und Biotechnologie</x:v>
      </x:c>
      <x:c r="F13" s="26" t="str">
        <x:v>Grado/Bachelor</x:v>
      </x:c>
      <x:c r="G13" s="26" t="str">
        <x:v>Programa completo</x:v>
      </x:c>
      <x:c r="H13" s="26" t="str">
        <x:v>B.Sc. completo comparable</x:v>
      </x:c>
      <x:c r="I13" s="26" t="str">
        <x:v>INTEGRAR CON BANDERA</x:v>
      </x:c>
      <x:c r="J13" s="26" t="str">
        <x:v>Sí</x:v>
      </x:c>
      <x:c r="K13" s="26" t="n">
        <x:v>180</x:v>
      </x:c>
      <x:c r="L13" s="26" t="str">
        <x:v>ECTS</x:v>
      </x:c>
      <x:c r="M13" s="26" t="str">
        <x:v>https://dein-studium.uni-hohenheim.de/en/hauptmenue/find-your-degree-program/food-science-and-biotechnology</x:v>
      </x:c>
      <x:c r="N13" s="26" t="str">
        <x:v>Distinguir módulos vigentes de detalles provenientes del archivo institucional histórico.</x:v>
      </x:c>
    </x:row>
    <x:row r="14">
      <x:c r="A14" s="26" t="str">
        <x:v>CORE_BACHELOR</x:v>
      </x:c>
      <x:c r="B14" s="26" t="n">
        <x:v>13</x:v>
      </x:c>
      <x:c r="C14" s="26" t="str">
        <x:v>TUM</x:v>
      </x:c>
      <x:c r="D14" s="26" t="str">
        <x:v>CUR_AGRO_TUM</x:v>
      </x:c>
      <x:c r="E14" s="26" t="str">
        <x:v>B.Sc. Food Technology / Lebensmitteltechnologie</x:v>
      </x:c>
      <x:c r="F14" s="26" t="str">
        <x:v>Grado/Bachelor</x:v>
      </x:c>
      <x:c r="G14" s="26" t="str">
        <x:v>Programa completo</x:v>
      </x:c>
      <x:c r="H14" s="26" t="str">
        <x:v>B.Sc. completo comparable</x:v>
      </x:c>
      <x:c r="I14" s="26" t="str">
        <x:v>INTEGRAR CON BANDERA</x:v>
      </x:c>
      <x:c r="J14" s="26" t="str">
        <x:v>Sí</x:v>
      </x:c>
      <x:c r="K14" s="26" t="n">
        <x:v>180</x:v>
      </x:c>
      <x:c r="L14" s="26" t="str">
        <x:v>ECTS</x:v>
      </x:c>
      <x:c r="M14" s="26" t="str">
        <x:v>https://www.ls.tum.de/en/ls/studies/courses-and-programs/food-technology-bsc/</x:v>
      </x:c>
      <x:c r="N14" s="26" t="str">
        <x:v>Curriculum actualmente enlazado es válido por cohorte desde WiSe 23/24; no etiquetarlo como PDF emitido en 2026.</x:v>
      </x:c>
    </x:row>
    <x:row r="15">
      <x:c r="A15" s="26" t="str">
        <x:v>BACHELOR_REFERENCIA_PARCIAL</x:v>
      </x:c>
      <x:c r="B15" s="26" t="n">
        <x:v>14</x:v>
      </x:c>
      <x:c r="C15" s="26" t="str">
        <x:v>SEVILLA</x:v>
      </x:c>
      <x:c r="D15" s="26" t="str">
        <x:v>CUR_AGRO_SEVILLA</x:v>
      </x:c>
      <x:c r="E15" s="26" t="str">
        <x:v>Grado en Ingeniería Agrícola — mención Explotaciones Agropecuarias</x:v>
      </x:c>
      <x:c r="F15" s="26" t="str">
        <x:v>Grado/Bachelor</x:v>
      </x:c>
      <x:c r="G15" s="26" t="str">
        <x:v>Programa completo</x:v>
      </x:c>
      <x:c r="H15" s="26" t="str">
        <x:v>Título completo, comparabilidad parcial</x:v>
      </x:c>
      <x:c r="I15" s="26" t="str">
        <x:v>INTEGRAR CON BANDERA</x:v>
      </x:c>
      <x:c r="J15" s="26" t="str">
        <x:v>Sí</x:v>
      </x:c>
      <x:c r="K15" s="26" t="n">
        <x:v>240</x:v>
      </x:c>
      <x:c r="L15" s="26" t="str">
        <x:v>ECTS</x:v>
      </x:c>
      <x:c r="M15" s="26" t="str">
        <x:v>https://www.us.es/estudiar/que-estudiar/oferta-de-grados/grado-en-ingenieria-agricola</x:v>
      </x:c>
      <x:c r="N15" s="26" t="str">
        <x:v>Útil como referente agrario; no tratar como equivalente directo de Ingeniería Alimentaria/Agroindustria.</x:v>
      </x:c>
    </x:row>
    <x:row r="16">
      <x:c r="A16" s="26" t="str">
        <x:v>INGENIEUR_MASTER_REFERENCIA</x:v>
      </x:c>
      <x:c r="B16" s="26" t="n">
        <x:v>15</x:v>
      </x:c>
      <x:c r="C16" s="26" t="str">
        <x:v>ENSAIA</x:v>
      </x:c>
      <x:c r="D16" s="26" t="str">
        <x:v>CUR_AGRO_ENSAIA</x:v>
      </x:c>
      <x:c r="E16" s="26" t="str">
        <x:v>Diplôme d'Ingénieur ENSAIA — Filière Industries Alimentaires</x:v>
      </x:c>
      <x:c r="F16" s="26" t="str">
        <x:v>Ingénieur/Master</x:v>
      </x:c>
      <x:c r="G16" s="26" t="str">
        <x:v>Programa declarado — cobertura parcial del dataset</x:v>
      </x:c>
      <x:c r="H16" s="26" t="str">
        <x:v>Diplôme d'Ingénieur — nivel master</x:v>
      </x:c>
      <x:c r="I16" s="26" t="str">
        <x:v>INTEGRAR COMO REFERENCIA</x:v>
      </x:c>
      <x:c r="J16" s="26" t="str">
        <x:v>No</x:v>
      </x:c>
      <x:c r="K16" s="26" t="str">
        <x:v>NR</x:v>
      </x:c>
      <x:c r="L16" s="26" t="str">
        <x:v>ECTS</x:v>
      </x:c>
      <x:c r="M16" s="26" t="str">
        <x:v>https://ensaia.univ-lorraine.fr/fr/content/incoming-students</x:v>
      </x:c>
      <x:c r="N16" s="26" t="str">
        <x:v>Usar horas y estructura; no comparar ECTS por asignatura ni nivel académico como si fuera grado/bachelor.</x:v>
      </x:c>
    </x:row>
    <x:row r="17">
      <x:c r="A17" s="26" t="str">
        <x:v>INGENIEUR_MASTER_REFERENCIA</x:v>
      </x:c>
      <x:c r="B17" s="26" t="n">
        <x:v>16</x:v>
      </x:c>
      <x:c r="C17" s="26" t="str">
        <x:v>IARA</x:v>
      </x:c>
      <x:c r="D17" s="26" t="str">
        <x:v>CUR_AGRO_IARA</x:v>
      </x:c>
      <x:c r="E17" s="26" t="str">
        <x:v>Diplôme d'Ingénieur en Alimentation</x:v>
      </x:c>
      <x:c r="F17" s="26" t="str">
        <x:v>Ingénieur/Master</x:v>
      </x:c>
      <x:c r="G17" s="26" t="str">
        <x:v>Programa declarado — cobertura parcial del dataset</x:v>
      </x:c>
      <x:c r="H17" s="26" t="str">
        <x:v>Diplôme d'Ingénieur — nivel master</x:v>
      </x:c>
      <x:c r="I17" s="26" t="str">
        <x:v>INTEGRAR COMO REFERENCIA</x:v>
      </x:c>
      <x:c r="J17" s="26" t="str">
        <x:v>No</x:v>
      </x:c>
      <x:c r="K17" s="26" t="n">
        <x:v>300</x:v>
      </x:c>
      <x:c r="L17" s="26" t="str">
        <x:v>ECTS</x:v>
      </x:c>
      <x:c r="M17" s="26" t="str">
        <x:v>https://www.institut-agro-rennes-angers.fr/formation/ingenieurs/ingenieur-en-alimentation</x:v>
      </x:c>
      <x:c r="N17" s="26" t="str">
        <x:v>Cobertura curricular parcial; usar bloques, prácticas y perfil, no agregados ECTS por asignatura.</x:v>
      </x:c>
    </x:row>
    <x:row r="18">
      <x:c r="A18" s="26" t="str">
        <x:v>INGENIEUR_MASTER_REFERENCIA</x:v>
      </x:c>
      <x:c r="B18" s="26" t="n">
        <x:v>17</x:v>
      </x:c>
      <x:c r="C18" s="26" t="str">
        <x:v>ONIRIS</x:v>
      </x:c>
      <x:c r="D18" s="26" t="str">
        <x:v>CUR_AGRO_ONIRIS</x:v>
      </x:c>
      <x:c r="E18" s="26" t="str">
        <x:v>Diplôme d'Ingénieur Oniris — orientation agroalimentaire/biotechnologies</x:v>
      </x:c>
      <x:c r="F18" s="26" t="str">
        <x:v>Ingénieur/Master</x:v>
      </x:c>
      <x:c r="G18" s="26" t="str">
        <x:v>Programa completo</x:v>
      </x:c>
      <x:c r="H18" s="26" t="str">
        <x:v>Diplôme d'Ingénieur — nivel master</x:v>
      </x:c>
      <x:c r="I18" s="26" t="str">
        <x:v>INTEGRAR CON BANDERA</x:v>
      </x:c>
      <x:c r="J18" s="26" t="str">
        <x:v>Sí</x:v>
      </x:c>
      <x:c r="K18" s="26" t="n">
        <x:v>180</x:v>
      </x:c>
      <x:c r="L18" s="26" t="str">
        <x:v>ECTS</x:v>
      </x:c>
      <x:c r="M18" s="26" t="str">
        <x:v>https://www.oniris-nantes.fr/formations/la-formation-ingenieur</x:v>
      </x:c>
      <x:c r="N18" s="26" t="str">
        <x:v>Muy valioso para resultados/competencias y S7–S8; análisis debe respetar nivel master y cobertura parcial del ciclo.</x:v>
      </x:c>
    </x:row>
    <x:row r="19">
      <x:c r="A19" s="26" t="str">
        <x:v>INGENIEUR_MASTER_REFERENCIA</x:v>
      </x:c>
      <x:c r="B19" s="26" t="n">
        <x:v>18</x:v>
      </x:c>
      <x:c r="C19" s="26" t="str">
        <x:v>AGROPARISTECH</x:v>
      </x:c>
      <x:c r="D19" s="26" t="str">
        <x:v>CUR_AGRO_AGROPARISTECH</x:v>
      </x:c>
      <x:c r="E19" s="26" t="str">
        <x:v>Diplôme d'Ingénieur AgroParisTech — 2A Domaine Ingénierie des aliments, biomolécules et énergie / parcours Ingénierie des aliments</x:v>
      </x:c>
      <x:c r="F19" s="26" t="str">
        <x:v>Ingénieur/Master</x:v>
      </x:c>
      <x:c r="G19" s="26" t="str">
        <x:v>Segmento curricular</x:v>
      </x:c>
      <x:c r="H19" s="26" t="str">
        <x:v>Segmento 2A D2 de Diplôme d'Ingénieur</x:v>
      </x:c>
      <x:c r="I19" s="26" t="str">
        <x:v>INTEGRAR COMO SEGMENTO</x:v>
      </x:c>
      <x:c r="J19" s="26" t="str">
        <x:v>No</x:v>
      </x:c>
      <x:c r="K19" s="26" t="n">
        <x:v>60</x:v>
      </x:c>
      <x:c r="L19" s="26" t="str">
        <x:v>ECTS</x:v>
      </x:c>
      <x:c r="M19" s="26" t="str">
        <x:v>https://synapses.agroparistech.fr/catalogue/2025-2026/ue/2000/2A-D2-domaine-ingenierie-des-aliments-biomolecules-et-energie?from=D1</x:v>
      </x:c>
      <x:c r="N19" s="26" t="str">
        <x:v>No tratar los 8 registros como diploma completo; ID debe indicar segmento curricular 2A/D2.</x:v>
      </x:c>
    </x:row>
    <x:row r="20">
      <x:c r="A20" s="26" t="str">
        <x:v>INGENIEUR_MASTER_REFERENCIA</x:v>
      </x:c>
      <x:c r="B20" s="26" t="n">
        <x:v>19</x:v>
      </x:c>
      <x:c r="C20" s="26" t="str">
        <x:v>IAD</x:v>
      </x:c>
      <x:c r="D20" s="26" t="str">
        <x:v>CUR_AGRO_IAD</x:v>
      </x:c>
      <x:c r="E20" s="26" t="str">
        <x:v>Diplôme d'Ingénieur en Alimentation</x:v>
      </x:c>
      <x:c r="F20" s="26" t="str">
        <x:v>Ingénieur/Master</x:v>
      </x:c>
      <x:c r="G20" s="26" t="str">
        <x:v>Programa declarado — cobertura parcial del dataset</x:v>
      </x:c>
      <x:c r="H20" s="26" t="str">
        <x:v>Diplôme d'Ingénieur — nivel master</x:v>
      </x:c>
      <x:c r="I20" s="26" t="str">
        <x:v>INTEGRAR COMO REFERENCIA</x:v>
      </x:c>
      <x:c r="J20" s="26" t="str">
        <x:v>No</x:v>
      </x:c>
      <x:c r="K20" s="26" t="str">
        <x:v>NR</x:v>
      </x:c>
      <x:c r="L20" s="26" t="str">
        <x:v>ECTS</x:v>
      </x:c>
      <x:c r="M20" s="26" t="str">
        <x:v>https://institut-agro-dijon.fr/formations/ingenieur-en-alimentation</x:v>
      </x:c>
      <x:c r="N20" s="26" t="str">
        <x:v>Sin ECTS granulares suficientes; conservar proyectos, stages y módulos publicados.</x:v>
      </x:c>
    </x:row>
    <x:row r="21">
      <x:c r="A21" s="26" t="str">
        <x:v>INGENIEUR_MASTER_REFERENCIA</x:v>
      </x:c>
      <x:c r="B21" s="26" t="n">
        <x:v>20</x:v>
      </x:c>
      <x:c r="C21" s="26" t="str">
        <x:v>UNILASALLE</x:v>
      </x:c>
      <x:c r="D21" s="26" t="str">
        <x:v>CUR_AGRO_UNILASALLE</x:v>
      </x:c>
      <x:c r="E21" s="26" t="str">
        <x:v>Ingénieur en Alimentation et Santé</x:v>
      </x:c>
      <x:c r="F21" s="26" t="str">
        <x:v>Ingénieur/Master</x:v>
      </x:c>
      <x:c r="G21" s="26" t="str">
        <x:v>Programa declarado — cobertura parcial del dataset</x:v>
      </x:c>
      <x:c r="H21" s="26" t="str">
        <x:v>Diplôme d'Ingénieur — nivel master</x:v>
      </x:c>
      <x:c r="I21" s="26" t="str">
        <x:v>INTEGRAR COMO REFERENCIA</x:v>
      </x:c>
      <x:c r="J21" s="26" t="str">
        <x:v>No</x:v>
      </x:c>
      <x:c r="K21" s="26" t="n">
        <x:v>300</x:v>
      </x:c>
      <x:c r="L21" s="26" t="str">
        <x:v>ECTS</x:v>
      </x:c>
      <x:c r="M21" s="26" t="str">
        <x:v>https://www.unilasalle.fr/formations/ingenieur-en-alimentation-et-sante-par-apprentissage</x:v>
      </x:c>
      <x:c r="N21" s="26" t="str">
        <x:v>La evidencia recuperada es de parcours/perfiles, no malla completa granular.</x:v>
      </x:c>
    </x:row>
    <x:row r="22">
      <x:c r="A22" s="26" t="str">
        <x:v>INGENIEUR_MASTER_REFERENCIA</x:v>
      </x:c>
      <x:c r="B22" s="26" t="n">
        <x:v>21</x:v>
      </x:c>
      <x:c r="C22" s="26" t="str">
        <x:v>PURPAN</x:v>
      </x:c>
      <x:c r="D22" s="26" t="str">
        <x:v>CUR_AGRO_PURPAN</x:v>
      </x:c>
      <x:c r="E22" s="26" t="str">
        <x:v>Cursus Ingénieur PURPAN — orientation agroalimentaire / management industriel</x:v>
      </x:c>
      <x:c r="F22" s="26" t="str">
        <x:v>Ingénieur/Master</x:v>
      </x:c>
      <x:c r="G22" s="26" t="str">
        <x:v>Programa completo</x:v>
      </x:c>
      <x:c r="H22" s="26" t="str">
        <x:v>Diplôme d'Ingénieur — nivel master</x:v>
      </x:c>
      <x:c r="I22" s="26" t="str">
        <x:v>INTEGRAR CON BANDERA</x:v>
      </x:c>
      <x:c r="J22" s="26" t="str">
        <x:v>Condicional</x:v>
      </x:c>
      <x:c r="K22" s="26" t="n">
        <x:v>300</x:v>
      </x:c>
      <x:c r="L22" s="26" t="str">
        <x:v>ECTS</x:v>
      </x:c>
      <x:c r="M22" s="26" t="str">
        <x:v>https://www.purpan.fr/formation/cursus-ingenieur/</x:v>
      </x:c>
      <x:c r="N22" s="26" t="str">
        <x:v>80% de créditos granulares en registros; no forzar reconciliación donde la web agrupa experiencias.</x:v>
      </x:c>
    </x:row>
    <x:row r="23">
      <x:c r="A23" s="26" t="str">
        <x:v>EXCLUIDO_FAMILIAS_SIN_ASIGNATURAS</x:v>
      </x:c>
      <x:c r="B23" s="26" t="n">
        <x:v>22</x:v>
      </x:c>
      <x:c r="C23" s="26" t="str">
        <x:v>USC</x:v>
      </x:c>
      <x:c r="D23" s="26" t="str">
        <x:v>CUR_AGRO_USC</x:v>
      </x:c>
      <x:c r="E23" s="26" t="str">
        <x:v>Grao en Enxeñaría Agrícola e Agroalimentaria — itinerario Industrias Agrarias e Alimentarias</x:v>
      </x:c>
      <x:c r="F23" s="26" t="str">
        <x:v>Grado/Bachelor</x:v>
      </x:c>
      <x:c r="G23" s="26" t="str">
        <x:v>Especialidad</x:v>
      </x:c>
      <x:c r="H23" s="26" t="str">
        <x:v>Título completo / especialidad IAA</x:v>
      </x:c>
      <x:c r="I23" s="26" t="str">
        <x:v>NO INTEGRAR ASIGNATURAS</x:v>
      </x:c>
      <x:c r="J23" s="26" t="str">
        <x:v>No</x:v>
      </x:c>
      <x:c r="K23" s="26" t="n">
        <x:v>240</x:v>
      </x:c>
      <x:c r="L23" s="26" t="str">
        <x:v>ECTS</x:v>
      </x:c>
      <x:c r="M23" s="26" t="str">
        <x:v>https://www.usc.gal/gl/estudos/graos/enxenaria-arquitectura/grao-enxenaria-agricola-agroalimentaria</x:v>
      </x:c>
      <x:c r="N23" s="26" t="str">
        <x:v>No participa en denominadores por familia hasta recuperar la malla granular oficial.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28" hidden="0" customWidth="1"/>
    <x:col min="5" max="5" width="18" hidden="0" customWidth="1"/>
    <x:col min="6" max="6" width="42" hidden="0" customWidth="1"/>
    <x:col min="7" max="7" width="4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44" hidden="0" customWidth="1"/>
    <x:col min="33" max="33" width="23" hidden="0" customWidth="1"/>
    <x:col min="34" max="34" width="52" hidden="0" customWidth="1"/>
  </x:cols>
  <x:sheetData>
    <x:row r="1">
      <x:c r="A1" s="5" t="str">
        <x:v>MATRIZ COMPARATIVA AGRO POR FAMILIA CURRICULAR — Benchmark internacional normalizado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</x:row>
    <x:row r="3">
      <x:c r="A3" s="14" t="str">
        <x:v>ID_Area</x:v>
      </x:c>
      <x:c r="B3" s="14" t="str">
        <x:v>Area</x:v>
      </x:c>
      <x:c r="C3" s="14" t="str">
        <x:v>ID_Subarea</x:v>
      </x:c>
      <x:c r="D3" s="14" t="str">
        <x:v>Subarea</x:v>
      </x:c>
      <x:c r="E3" s="14" t="str">
        <x:v>ID_Familia</x:v>
      </x:c>
      <x:c r="F3" s="14" t="str">
        <x:v>Familia_Curricular</x:v>
      </x:c>
      <x:c r="G3" s="14" t="str">
        <x:v>Definicion</x:v>
      </x:c>
      <x:c r="H3" s="14" t="str">
        <x:v>N_Curriculos_Todos</x:v>
      </x:c>
      <x:c r="I3" s="14" t="str">
        <x:v>Presencia_Todos_pct</x:v>
      </x:c>
      <x:c r="J3" s="14" t="str">
        <x:v>N_Bachelor</x:v>
      </x:c>
      <x:c r="K3" s="14" t="str">
        <x:v>Presencia_Bachelor_pct</x:v>
      </x:c>
      <x:c r="L3" s="14" t="str">
        <x:v>N_Core</x:v>
      </x:c>
      <x:c r="M3" s="14" t="str">
        <x:v>Presencia_Core_pct</x:v>
      </x:c>
      <x:c r="N3" s="14" t="str">
        <x:v>N_Core_Obligatoria</x:v>
      </x:c>
      <x:c r="O3" s="14" t="str">
        <x:v>Presencia_Core_Obligatoria_pct</x:v>
      </x:c>
      <x:c r="P3" s="14" t="str">
        <x:v>N_Core_Solo_Optativa</x:v>
      </x:c>
      <x:c r="Q3" s="14" t="str">
        <x:v>N_Master</x:v>
      </x:c>
      <x:c r="R3" s="14" t="str">
        <x:v>Presencia_Master_pct</x:v>
      </x:c>
      <x:c r="S3" s="14" t="str">
        <x:v>Creditos_Obligatorios_Promedio_Core</x:v>
      </x:c>
      <x:c r="T3" s="14" t="str">
        <x:v>Peso_Obligatorio_Promedio_Core_pct</x:v>
      </x:c>
      <x:c r="U3" s="14" t="str">
        <x:v>Peso_Obligatorio_Mediana_Core_pct</x:v>
      </x:c>
      <x:c r="V3" s="14" t="str">
        <x:v>Primera_Aparicion_Mediana_pct</x:v>
      </x:c>
      <x:c r="W3" s="14" t="str">
        <x:v>Etapa_Primera_Aparicion_Mediana</x:v>
      </x:c>
      <x:c r="X3" s="14" t="str">
        <x:v>Profundidad_Mediana_Max_Core_N</x:v>
      </x:c>
      <x:c r="Y3" s="14" t="str">
        <x:v>Profundidad_Mediana_Etiqueta</x:v>
      </x:c>
      <x:c r="Z3" s="14" t="str">
        <x:v>Experimental_pct_entre_presentes</x:v>
      </x:c>
      <x:c r="AA3" s="14" t="str">
        <x:v>Computacional_pct_entre_presentes</x:v>
      </x:c>
      <x:c r="AB3" s="14" t="str">
        <x:v>Estatus_Prevalencia_Core</x:v>
      </x:c>
      <x:c r="AC3" s="14" t="str">
        <x:v>Tendencia_Futura</x:v>
      </x:c>
      <x:c r="AD3" s="14" t="str">
        <x:v>Senal_Emergente</x:v>
      </x:c>
      <x:c r="AE3" s="14" t="str">
        <x:v>Prioridad_Senal_EPN</x:v>
      </x:c>
      <x:c r="AF3" s="14" t="str">
        <x:v>Temas_EPN_Relacionados</x:v>
      </x:c>
      <x:c r="AG3" s="14" t="str">
        <x:v>Prioridad_Revision_EPN</x:v>
      </x:c>
      <x:c r="AH3" s="14" t="str">
        <x:v>Regla_Decision_EPN</x:v>
      </x:c>
    </x:row>
    <x:row r="4">
      <x:c r="A4" s="26" t="str">
        <x:v>A00</x:v>
      </x:c>
      <x:c r="B4" s="26" t="str">
        <x:v>Contenedores curriculares / no temáticos</x:v>
      </x:c>
      <x:c r="C4" s="26" t="str">
        <x:v>S00</x:v>
      </x:c>
      <x:c r="D4" s="26" t="str">
        <x:v>Contenedores</x:v>
      </x:c>
      <x:c r="E4" s="26" t="str">
        <x:v>F0001</x:v>
      </x:c>
      <x:c r="F4" s="26" t="str">
        <x:v>Optatividad / grupo de elección</x:v>
      </x:c>
      <x:c r="G4" s="26" t="str">
        <x:v>Contenedor sin disciplina explícita.</x:v>
      </x:c>
      <x:c r="H4" s="26" t="n">
        <x:f>COUNTIF('04_Presencia_Curriculos'!D4:X4,"&gt;0")</x:f>
        <x:v>6</x:v>
      </x:c>
      <x:c r="I4" s="32" t="n">
        <x:f>H4/'01_Metodologia'!$F$4</x:f>
        <x:v>0.2857142857142857</x:v>
      </x:c>
      <x:c r="J4" s="26" t="n">
        <x:f>COUNTIF('04_Presencia_Curriculos'!D4:Q4,"&gt;0")</x:f>
        <x:v>6</x:v>
      </x:c>
      <x:c r="K4" s="32" t="n">
        <x:f>J4/'01_Metodologia'!$F$5</x:f>
        <x:v>0.42857142857142855</x:v>
      </x:c>
      <x:c r="L4" s="26" t="n">
        <x:f>COUNTIF('04_Presencia_Curriculos'!D4:P4,"&gt;0")</x:f>
        <x:v>6</x:v>
      </x:c>
      <x:c r="M4" s="32" t="n">
        <x:f>L4/'01_Metodologia'!$F$6</x:f>
        <x:v>0.46153846153846156</x:v>
      </x:c>
      <x:c r="N4" s="26" t="n">
        <x:f>COUNTIF('04_Presencia_Curriculos'!D4:P4,2)</x:f>
        <x:v>0</x:v>
      </x:c>
      <x:c r="O4" s="32" t="n">
        <x:f>N4/'01_Metodologia'!$F$6</x:f>
        <x:v>0</x:v>
      </x:c>
      <x:c r="P4" s="26" t="n">
        <x:f>COUNTIF('04_Presencia_Curriculos'!D4:P4,1)</x:f>
        <x:v>6</x:v>
      </x:c>
      <x:c r="Q4" s="26" t="n">
        <x:f>COUNTIF('04_Presencia_Curriculos'!R4:X4,"&gt;0")</x:f>
        <x:v>0</x:v>
      </x:c>
      <x:c r="R4" s="32" t="n">
        <x:f>Q4/'01_Metodologia'!$F$7</x:f>
        <x:v>0</x:v>
      </x:c>
      <x:c r="S4" s="36" t="n">
        <x:v>0</x:v>
      </x:c>
      <x:c r="T4" s="32" t="n">
        <x:f>AVERAGE('05_Peso_Creditos_Core'!D4:O4)</x:f>
        <x:v>0</x:v>
      </x:c>
      <x:c r="U4" s="32" t="n">
        <x:f>MEDIAN('05_Peso_Creditos_Core'!D4:O4)</x:f>
        <x:v>0</x:v>
      </x:c>
      <x:c r="V4" s="34" t="n">
        <x:f>IF(COUNT('06_Posicion_Core'!D4:P4)=0,"",MEDIAN('06_Posicion_Core'!D4:P4))</x:f>
        <x:v>80.20833333333333</x:v>
      </x:c>
      <x:c r="W4" s="26" t="str">
        <x:f>IF(V4="","NR",IF(V4&lt;=25,"E1 Fundamentos",IF(V4&lt;=50,"E2 Fundamentos de ingeniería",IF(V4&lt;=75,"E3 Formación profesional","E4 Integración/especialización"))))</x:f>
        <x:v>E4 Integración/especialización</x:v>
      </x:c>
      <x:c r="X4" s="26" t="n">
        <x:f>IF(COUNT('07_Profundidad_Core'!D4:P4)=0,"",MEDIAN('07_Profundidad_Core'!D4:P4))</x:f>
        <x:v>1</x:v>
      </x:c>
      <x:c r="Y4" s="26" t="str">
        <x:f>IF(X4="","NR",IF(X4=INT(X4),"N"&amp;TEXT(X4,"0"),"N"&amp;TEXT(INT(X4),"0")&amp;"–N"&amp;TEXT(INT(X4)+1,"0")))</x:f>
        <x:v>N1</x:v>
      </x:c>
      <x:c r="Z4" s="32" t="n">
        <x:v>0</x:v>
      </x:c>
      <x:c r="AA4" s="32" t="n">
        <x:v>0</x:v>
      </x:c>
      <x:c r="AB4" s="26" t="str">
        <x:f>IF(M4&gt;=0.75,"Universal / núcleo",IF(M4&gt;=0.5,"Consolidada",IF(M4&gt;=0.25,"Selectiva","Baja prevalencia")))</x:f>
        <x:v>Selectiva</x:v>
      </x:c>
      <x:c r="AC4" s="26" t="str">
        <x:v>No</x:v>
      </x:c>
      <x:c r="AD4" s="26" t="str">
        <x:f>IF(AND(AC4="Sí",L4&gt;=2,M4&lt;0.5,V4&gt;=45),"Emergente en grado",IF(AND(AC4="Sí",L4&lt;=1,Q4&gt;=2),"Emergente desde nivel avanzado",IF(AND(M4&lt;0.25,L4&gt;=1),"Nicho / especialización","")))</x:f>
      </x:c>
      <x:c r="AE4" s="26" t="str"/>
      <x:c r="AF4" s="26" t="str"/>
      <x:c r="AG4" s="26" t="str">
        <x:f>IF(AND(AB4="Universal / núcleo",AE4="Alta"),"Muy alta",IF(AND(OR(AD4="Emergente en grado",AD4="Emergente desde nivel avanzado"),AE4="Alta"),"Muy alta",IF(OR(AB4="Universal / núcleo",AB4="Consolidada",AE4="Alta"),"Alta",IF(OR(AD4&lt;&gt;"",AE4="Media"),"Media","Baja"))))</x:f>
        <x:v>Baja</x:v>
      </x:c>
      <x:c r="AH4" s="26" t="str">
        <x:v>Comparar con la malla EPN Agro antes de decidir mantener/reforzar/integrar/añadir.</x:v>
      </x:c>
    </x:row>
    <x:row r="5">
      <x:c r="A5" s="26" t="str">
        <x:v>A00</x:v>
      </x:c>
      <x:c r="B5" s="26" t="str">
        <x:v>Contenedores curriculares / no temáticos</x:v>
      </x:c>
      <x:c r="C5" s="26" t="str">
        <x:v>S00</x:v>
      </x:c>
      <x:c r="D5" s="26" t="str">
        <x:v>Contenedores</x:v>
      </x:c>
      <x:c r="E5" s="26" t="str">
        <x:v>F0002</x:v>
      </x:c>
      <x:c r="F5" s="26" t="str">
        <x:v>Especialización / parcours no desagregado</x:v>
      </x:c>
      <x:c r="G5" s="26" t="str">
        <x:v>Ruta o especialización sin UEs suficientes.</x:v>
      </x:c>
      <x:c r="H5" s="26" t="n">
        <x:f>COUNTIF('04_Presencia_Curriculos'!D5:X5,"&gt;0")</x:f>
        <x:v>4</x:v>
      </x:c>
      <x:c r="I5" s="32" t="n">
        <x:f>H5/'01_Metodologia'!$F$4</x:f>
        <x:v>0.19047619047619047</x:v>
      </x:c>
      <x:c r="J5" s="26" t="n">
        <x:f>COUNTIF('04_Presencia_Curriculos'!D5:Q5,"&gt;0")</x:f>
        <x:v>0</x:v>
      </x:c>
      <x:c r="K5" s="32" t="n">
        <x:f>J5/'01_Metodologia'!$F$5</x:f>
        <x:v>0</x:v>
      </x:c>
      <x:c r="L5" s="26" t="n">
        <x:f>COUNTIF('04_Presencia_Curriculos'!D5:P5,"&gt;0")</x:f>
        <x:v>0</x:v>
      </x:c>
      <x:c r="M5" s="32" t="n">
        <x:f>L5/'01_Metodologia'!$F$6</x:f>
        <x:v>0</x:v>
      </x:c>
      <x:c r="N5" s="26" t="n">
        <x:f>COUNTIF('04_Presencia_Curriculos'!D5:P5,2)</x:f>
        <x:v>0</x:v>
      </x:c>
      <x:c r="O5" s="32" t="n">
        <x:f>N5/'01_Metodologia'!$F$6</x:f>
        <x:v>0</x:v>
      </x:c>
      <x:c r="P5" s="26" t="n">
        <x:f>COUNTIF('04_Presencia_Curriculos'!D5:P5,1)</x:f>
        <x:v>0</x:v>
      </x:c>
      <x:c r="Q5" s="26" t="n">
        <x:f>COUNTIF('04_Presencia_Curriculos'!R5:X5,"&gt;0")</x:f>
        <x:v>4</x:v>
      </x:c>
      <x:c r="R5" s="32" t="n">
        <x:f>Q5/'01_Metodologia'!$F$7</x:f>
        <x:v>0.5714285714285714</x:v>
      </x:c>
      <x:c r="S5" s="36" t="n">
        <x:v>0</x:v>
      </x:c>
      <x:c r="T5" s="32" t="n">
        <x:f>AVERAGE('05_Peso_Creditos_Core'!D5:O5)</x:f>
        <x:v>0</x:v>
      </x:c>
      <x:c r="U5" s="32" t="n">
        <x:f>MEDIAN('05_Peso_Creditos_Core'!D5:O5)</x:f>
        <x:v>0</x:v>
      </x:c>
      <x:c r="V5" s="34" t="str">
        <x:f>IF(COUNT('06_Posicion_Core'!D5:P5)=0,"",MEDIAN('06_Posicion_Core'!D5:P5))</x:f>
      </x:c>
      <x:c r="W5" s="26" t="str">
        <x:f>IF(V5="","NR",IF(V5&lt;=25,"E1 Fundamentos",IF(V5&lt;=50,"E2 Fundamentos de ingeniería",IF(V5&lt;=75,"E3 Formación profesional","E4 Integración/especialización"))))</x:f>
        <x:v>NR</x:v>
      </x:c>
      <x:c r="X5" s="26" t="str">
        <x:f>IF(COUNT('07_Profundidad_Core'!D5:P5)=0,"",MEDIAN('07_Profundidad_Core'!D5:P5))</x:f>
      </x:c>
      <x:c r="Y5" s="26" t="str">
        <x:f>IF(X5="","NR",IF(X5=INT(X5),"N"&amp;TEXT(X5,"0"),"N"&amp;TEXT(INT(X5),"0")&amp;"–N"&amp;TEXT(INT(X5)+1,"0")))</x:f>
        <x:v>NR</x:v>
      </x:c>
      <x:c r="Z5" s="32"/>
      <x:c r="AA5" s="32"/>
      <x:c r="AB5" s="26" t="str">
        <x:f>IF(M5&gt;=0.75,"Universal / núcleo",IF(M5&gt;=0.5,"Consolidada",IF(M5&gt;=0.25,"Selectiva","Baja prevalencia")))</x:f>
        <x:v>Baja prevalencia</x:v>
      </x:c>
      <x:c r="AC5" s="26" t="str">
        <x:v>No</x:v>
      </x:c>
      <x:c r="AD5" s="26" t="str">
        <x:f>IF(AND(AC5="Sí",L5&gt;=2,M5&lt;0.5,V5&gt;=45),"Emergente en grado",IF(AND(AC5="Sí",L5&lt;=1,Q5&gt;=2),"Emergente desde nivel avanzado",IF(AND(M5&lt;0.25,L5&gt;=1),"Nicho / especialización","")))</x:f>
      </x:c>
      <x:c r="AE5" s="26" t="str"/>
      <x:c r="AF5" s="26" t="str"/>
      <x:c r="AG5" s="26" t="str">
        <x:f>IF(AND(AB5="Universal / núcleo",AE5="Alta"),"Muy alta",IF(AND(OR(AD5="Emergente en grado",AD5="Emergente desde nivel avanzado"),AE5="Alta"),"Muy alta",IF(OR(AB5="Universal / núcleo",AB5="Consolidada",AE5="Alta"),"Alta",IF(OR(AD5&lt;&gt;"",AE5="Media"),"Media","Baja"))))</x:f>
        <x:v>Baja</x:v>
      </x:c>
      <x:c r="AH5" s="26" t="str">
        <x:v>Comparar con la malla EPN Agro antes de decidir mantener/reforzar/integrar/añadir.</x:v>
      </x:c>
    </x:row>
    <x:row r="6">
      <x:c r="A6" s="26" t="str">
        <x:v>A01</x:v>
      </x:c>
      <x:c r="B6" s="26" t="str">
        <x:v>Matemáticas, Estadística y Computación</x:v>
      </x:c>
      <x:c r="C6" s="26" t="str">
        <x:v>S01</x:v>
      </x:c>
      <x:c r="D6" s="26" t="str">
        <x:v>Matemáticas</x:v>
      </x:c>
      <x:c r="E6" s="26" t="str">
        <x:v>F0101</x:v>
      </x:c>
      <x:c r="F6" s="26" t="str">
        <x:v>Cálculo y matemática general</x:v>
      </x:c>
      <x:c r="G6" s="26" t="str">
        <x:v>Cálculo y matemática general de ingeniería.</x:v>
      </x:c>
      <x:c r="H6" s="26" t="n">
        <x:f>COUNTIF('04_Presencia_Curriculos'!D6:X6,"&gt;0")</x:f>
        <x:v>15</x:v>
      </x:c>
      <x:c r="I6" s="32" t="n">
        <x:f>H6/'01_Metodologia'!$F$4</x:f>
        <x:v>0.7142857142857143</x:v>
      </x:c>
      <x:c r="J6" s="26" t="n">
        <x:f>COUNTIF('04_Presencia_Curriculos'!D6:Q6,"&gt;0")</x:f>
        <x:v>14</x:v>
      </x:c>
      <x:c r="K6" s="32" t="n">
        <x:f>J6/'01_Metodologia'!$F$5</x:f>
        <x:v>1</x:v>
      </x:c>
      <x:c r="L6" s="26" t="n">
        <x:f>COUNTIF('04_Presencia_Curriculos'!D6:P6,"&gt;0")</x:f>
        <x:v>13</x:v>
      </x:c>
      <x:c r="M6" s="32" t="n">
        <x:f>L6/'01_Metodologia'!$F$6</x:f>
        <x:v>1</x:v>
      </x:c>
      <x:c r="N6" s="26" t="n">
        <x:f>COUNTIF('04_Presencia_Curriculos'!D6:P6,2)</x:f>
        <x:v>13</x:v>
      </x:c>
      <x:c r="O6" s="32" t="n">
        <x:f>N6/'01_Metodologia'!$F$6</x:f>
        <x:v>1</x:v>
      </x:c>
      <x:c r="P6" s="26" t="n">
        <x:f>COUNTIF('04_Presencia_Curriculos'!D6:P6,1)</x:f>
        <x:v>0</x:v>
      </x:c>
      <x:c r="Q6" s="26" t="n">
        <x:f>COUNTIF('04_Presencia_Curriculos'!R6:X6,"&gt;0")</x:f>
        <x:v>1</x:v>
      </x:c>
      <x:c r="R6" s="32" t="n">
        <x:f>Q6/'01_Metodologia'!$F$7</x:f>
        <x:v>0.14285714285714285</x:v>
      </x:c>
      <x:c r="S6" s="36" t="n">
        <x:v>9.166666666666666</x:v>
      </x:c>
      <x:c r="T6" s="32" t="n">
        <x:f>AVERAGE('05_Peso_Creditos_Core'!D6:O6)</x:f>
        <x:v>0.045370370370370366</x:v>
      </x:c>
      <x:c r="U6" s="32" t="n">
        <x:f>MEDIAN('05_Peso_Creditos_Core'!D6:O6)</x:f>
        <x:v>0.044444444444444446</x:v>
      </x:c>
      <x:c r="V6" s="34" t="n">
        <x:f>IF(COUNT('06_Posicion_Core'!D6:P6)=0,"",MEDIAN('06_Posicion_Core'!D6:P6))</x:f>
        <x:v>8.333333333333332</x:v>
      </x:c>
      <x:c r="W6" s="26" t="str">
        <x:f>IF(V6="","NR",IF(V6&lt;=25,"E1 Fundamentos",IF(V6&lt;=50,"E2 Fundamentos de ingeniería",IF(V6&lt;=75,"E3 Formación profesional","E4 Integración/especialización"))))</x:f>
        <x:v>E1 Fundamentos</x:v>
      </x:c>
      <x:c r="X6" s="26" t="n">
        <x:f>IF(COUNT('07_Profundidad_Core'!D6:P6)=0,"",MEDIAN('07_Profundidad_Core'!D6:P6))</x:f>
        <x:v>1</x:v>
      </x:c>
      <x:c r="Y6" s="26" t="str">
        <x:f>IF(X6="","NR",IF(X6=INT(X6),"N"&amp;TEXT(X6,"0"),"N"&amp;TEXT(INT(X6),"0")&amp;"–N"&amp;TEXT(INT(X6)+1,"0")))</x:f>
        <x:v>N1</x:v>
      </x:c>
      <x:c r="Z6" s="32" t="n">
        <x:v>0</x:v>
      </x:c>
      <x:c r="AA6" s="32" t="n">
        <x:v>0</x:v>
      </x:c>
      <x:c r="AB6" s="26" t="str">
        <x:f>IF(M6&gt;=0.75,"Universal / núcleo",IF(M6&gt;=0.5,"Consolidada",IF(M6&gt;=0.25,"Selectiva","Baja prevalencia")))</x:f>
        <x:v>Universal / núcleo</x:v>
      </x:c>
      <x:c r="AC6" s="26" t="str">
        <x:v>No</x:v>
      </x:c>
      <x:c r="AD6" s="26" t="str">
        <x:f>IF(AND(AC6="Sí",L6&gt;=2,M6&lt;0.5,V6&gt;=45),"Emergente en grado",IF(AND(AC6="Sí",L6&lt;=1,Q6&gt;=2),"Emergente desde nivel avanzado",IF(AND(M6&lt;0.25,L6&gt;=1),"Nicho / especialización","")))</x:f>
      </x:c>
      <x:c r="AE6" s="26" t="str"/>
      <x:c r="AF6" s="26" t="str"/>
      <x:c r="AG6" s="26" t="str">
        <x:f>IF(AND(AB6="Universal / núcleo",AE6="Alta"),"Muy alta",IF(AND(OR(AD6="Emergente en grado",AD6="Emergente desde nivel avanzado"),AE6="Alta"),"Muy alta",IF(OR(AB6="Universal / núcleo",AB6="Consolidada",AE6="Alta"),"Alta",IF(OR(AD6&lt;&gt;"",AE6="Media"),"Media","Baja"))))</x:f>
        <x:v>Alta</x:v>
      </x:c>
      <x:c r="AH6" s="26" t="str">
        <x:v>Comparar con la malla EPN Agro antes de decidir mantener/reforzar/integrar/añadir.</x:v>
      </x:c>
    </x:row>
    <x:row r="7">
      <x:c r="A7" s="26" t="str">
        <x:v>A01</x:v>
      </x:c>
      <x:c r="B7" s="26" t="str">
        <x:v>Matemáticas, Estadística y Computación</x:v>
      </x:c>
      <x:c r="C7" s="26" t="str">
        <x:v>S01</x:v>
      </x:c>
      <x:c r="D7" s="26" t="str">
        <x:v>Matemáticas</x:v>
      </x:c>
      <x:c r="E7" s="26" t="str">
        <x:v>F0102</x:v>
      </x:c>
      <x:c r="F7" s="26" t="str">
        <x:v>Álgebra lineal y geometría</x:v>
      </x:c>
      <x:c r="G7" s="26" t="str">
        <x:v>Álgebra lineal, geometría y matrices.</x:v>
      </x:c>
      <x:c r="H7" s="26" t="n">
        <x:f>COUNTIF('04_Presencia_Curriculos'!D7:X7,"&gt;0")</x:f>
        <x:v>3</x:v>
      </x:c>
      <x:c r="I7" s="32" t="n">
        <x:f>H7/'01_Metodologia'!$F$4</x:f>
        <x:v>0.14285714285714285</x:v>
      </x:c>
      <x:c r="J7" s="26" t="n">
        <x:f>COUNTIF('04_Presencia_Curriculos'!D7:Q7,"&gt;0")</x:f>
        <x:v>3</x:v>
      </x:c>
      <x:c r="K7" s="32" t="n">
        <x:f>J7/'01_Metodologia'!$F$5</x:f>
        <x:v>0.21428571428571427</x:v>
      </x:c>
      <x:c r="L7" s="26" t="n">
        <x:f>COUNTIF('04_Presencia_Curriculos'!D7:P7,"&gt;0")</x:f>
        <x:v>3</x:v>
      </x:c>
      <x:c r="M7" s="32" t="n">
        <x:f>L7/'01_Metodologia'!$F$6</x:f>
        <x:v>0.23076923076923078</x:v>
      </x:c>
      <x:c r="N7" s="26" t="n">
        <x:f>COUNTIF('04_Presencia_Curriculos'!D7:P7,2)</x:f>
        <x:v>3</x:v>
      </x:c>
      <x:c r="O7" s="32" t="n">
        <x:f>N7/'01_Metodologia'!$F$6</x:f>
        <x:v>0.23076923076923078</x:v>
      </x:c>
      <x:c r="P7" s="26" t="n">
        <x:f>COUNTIF('04_Presencia_Curriculos'!D7:P7,1)</x:f>
        <x:v>0</x:v>
      </x:c>
      <x:c r="Q7" s="26" t="n">
        <x:f>COUNTIF('04_Presencia_Curriculos'!R7:X7,"&gt;0")</x:f>
        <x:v>0</x:v>
      </x:c>
      <x:c r="R7" s="32" t="n">
        <x:f>Q7/'01_Metodologia'!$F$7</x:f>
        <x:v>0</x:v>
      </x:c>
      <x:c r="S7" s="36" t="n">
        <x:v>1.75</x:v>
      </x:c>
      <x:c r="T7" s="32" t="n">
        <x:f>AVERAGE('05_Peso_Creditos_Core'!D7:O7)</x:f>
        <x:v>0.009722222222222222</x:v>
      </x:c>
      <x:c r="U7" s="32" t="n">
        <x:f>MEDIAN('05_Peso_Creditos_Core'!D7:O7)</x:f>
        <x:v>0</x:v>
      </x:c>
      <x:c r="V7" s="34" t="n">
        <x:f>IF(COUNT('06_Posicion_Core'!D7:P7)=0,"",MEDIAN('06_Posicion_Core'!D7:P7))</x:f>
        <x:v>8.333333333333332</x:v>
      </x:c>
      <x:c r="W7" s="26" t="str">
        <x:f>IF(V7="","NR",IF(V7&lt;=25,"E1 Fundamentos",IF(V7&lt;=50,"E2 Fundamentos de ingeniería",IF(V7&lt;=75,"E3 Formación profesional","E4 Integración/especialización"))))</x:f>
        <x:v>E1 Fundamentos</x:v>
      </x:c>
      <x:c r="X7" s="26" t="n">
        <x:f>IF(COUNT('07_Profundidad_Core'!D7:P7)=0,"",MEDIAN('07_Profundidad_Core'!D7:P7))</x:f>
        <x:v>1</x:v>
      </x:c>
      <x:c r="Y7" s="26" t="str">
        <x:f>IF(X7="","NR",IF(X7=INT(X7),"N"&amp;TEXT(X7,"0"),"N"&amp;TEXT(INT(X7),"0")&amp;"–N"&amp;TEXT(INT(X7)+1,"0")))</x:f>
        <x:v>N1</x:v>
      </x:c>
      <x:c r="Z7" s="32" t="n">
        <x:v>0</x:v>
      </x:c>
      <x:c r="AA7" s="32" t="n">
        <x:v>0</x:v>
      </x:c>
      <x:c r="AB7" s="26" t="str">
        <x:f>IF(M7&gt;=0.75,"Universal / núcleo",IF(M7&gt;=0.5,"Consolidada",IF(M7&gt;=0.25,"Selectiva","Baja prevalencia")))</x:f>
        <x:v>Baja prevalencia</x:v>
      </x:c>
      <x:c r="AC7" s="26" t="str">
        <x:v>No</x:v>
      </x:c>
      <x:c r="AD7" s="26" t="str">
        <x:f>IF(AND(AC7="Sí",L7&gt;=2,M7&lt;0.5,V7&gt;=45),"Emergente en grado",IF(AND(AC7="Sí",L7&lt;=1,Q7&gt;=2),"Emergente desde nivel avanzado",IF(AND(M7&lt;0.25,L7&gt;=1),"Nicho / especialización","")))</x:f>
        <x:v>Nicho / especialización</x:v>
      </x:c>
      <x:c r="AE7" s="26" t="str"/>
      <x:c r="AF7" s="26" t="str"/>
      <x:c r="AG7" s="26" t="str">
        <x:f>IF(AND(AB7="Universal / núcleo",AE7="Alta"),"Muy alta",IF(AND(OR(AD7="Emergente en grado",AD7="Emergente desde nivel avanzado"),AE7="Alta"),"Muy alta",IF(OR(AB7="Universal / núcleo",AB7="Consolidada",AE7="Alta"),"Alta",IF(OR(AD7&lt;&gt;"",AE7="Media"),"Media","Baja"))))</x:f>
        <x:v>Media</x:v>
      </x:c>
      <x:c r="AH7" s="26" t="str">
        <x:v>Comparar con la malla EPN Agro antes de decidir mantener/reforzar/integrar/añadir.</x:v>
      </x:c>
    </x:row>
    <x:row r="8">
      <x:c r="A8" s="26" t="str">
        <x:v>A01</x:v>
      </x:c>
      <x:c r="B8" s="26" t="str">
        <x:v>Matemáticas, Estadística y Computación</x:v>
      </x:c>
      <x:c r="C8" s="26" t="str">
        <x:v>S01</x:v>
      </x:c>
      <x:c r="D8" s="26" t="str">
        <x:v>Matemáticas</x:v>
      </x:c>
      <x:c r="E8" s="26" t="str">
        <x:v>F0103</x:v>
      </x:c>
      <x:c r="F8" s="26" t="str">
        <x:v>Ecuaciones diferenciales y modelización matemática</x:v>
      </x:c>
      <x:c r="G8" s="26" t="str">
        <x:v>EDO/EDP y modelización matemática.</x:v>
      </x:c>
      <x:c r="H8" s="26" t="n">
        <x:f>COUNTIF('04_Presencia_Curriculos'!D8:X8,"&gt;0")</x:f>
        <x:v>1</x:v>
      </x:c>
      <x:c r="I8" s="32" t="n">
        <x:f>H8/'01_Metodologia'!$F$4</x:f>
        <x:v>0.047619047619047616</x:v>
      </x:c>
      <x:c r="J8" s="26" t="n">
        <x:f>COUNTIF('04_Presencia_Curriculos'!D8:Q8,"&gt;0")</x:f>
        <x:v>1</x:v>
      </x:c>
      <x:c r="K8" s="32" t="n">
        <x:f>J8/'01_Metodologia'!$F$5</x:f>
        <x:v>0.07142857142857142</x:v>
      </x:c>
      <x:c r="L8" s="26" t="n">
        <x:f>COUNTIF('04_Presencia_Curriculos'!D8:P8,"&gt;0")</x:f>
        <x:v>1</x:v>
      </x:c>
      <x:c r="M8" s="32" t="n">
        <x:f>L8/'01_Metodologia'!$F$6</x:f>
        <x:v>0.07692307692307693</x:v>
      </x:c>
      <x:c r="N8" s="26" t="n">
        <x:f>COUNTIF('04_Presencia_Curriculos'!D8:P8,2)</x:f>
        <x:v>1</x:v>
      </x:c>
      <x:c r="O8" s="32" t="n">
        <x:f>N8/'01_Metodologia'!$F$6</x:f>
        <x:v>0.07692307692307693</x:v>
      </x:c>
      <x:c r="P8" s="26" t="n">
        <x:f>COUNTIF('04_Presencia_Curriculos'!D8:P8,1)</x:f>
        <x:v>0</x:v>
      </x:c>
      <x:c r="Q8" s="26" t="n">
        <x:f>COUNTIF('04_Presencia_Curriculos'!R8:X8,"&gt;0")</x:f>
        <x:v>0</x:v>
      </x:c>
      <x:c r="R8" s="32" t="n">
        <x:f>Q8/'01_Metodologia'!$F$7</x:f>
        <x:v>0</x:v>
      </x:c>
      <x:c r="S8" s="36" t="n">
        <x:v>0.3333333333333333</x:v>
      </x:c>
      <x:c r="T8" s="32" t="n">
        <x:f>AVERAGE('05_Peso_Creditos_Core'!D8:O8)</x:f>
        <x:v>0.001388888888888889</x:v>
      </x:c>
      <x:c r="U8" s="32" t="n">
        <x:f>MEDIAN('05_Peso_Creditos_Core'!D8:O8)</x:f>
        <x:v>0</x:v>
      </x:c>
      <x:c r="V8" s="34" t="n">
        <x:f>IF(COUNT('06_Posicion_Core'!D8:P8)=0,"",MEDIAN('06_Posicion_Core'!D8:P8))</x:f>
        <x:v>31.25</x:v>
      </x:c>
      <x:c r="W8" s="26" t="str">
        <x:f>IF(V8="","NR",IF(V8&lt;=25,"E1 Fundamentos",IF(V8&lt;=50,"E2 Fundamentos de ingeniería",IF(V8&lt;=75,"E3 Formación profesional","E4 Integración/especialización"))))</x:f>
        <x:v>E2 Fundamentos de ingeniería</x:v>
      </x:c>
      <x:c r="X8" s="26" t="n">
        <x:f>IF(COUNT('07_Profundidad_Core'!D8:P8)=0,"",MEDIAN('07_Profundidad_Core'!D8:P8))</x:f>
        <x:v>1</x:v>
      </x:c>
      <x:c r="Y8" s="26" t="str">
        <x:f>IF(X8="","NR",IF(X8=INT(X8),"N"&amp;TEXT(X8,"0"),"N"&amp;TEXT(INT(X8),"0")&amp;"–N"&amp;TEXT(INT(X8)+1,"0")))</x:f>
        <x:v>N1</x:v>
      </x:c>
      <x:c r="Z8" s="32" t="n">
        <x:v>0</x:v>
      </x:c>
      <x:c r="AA8" s="32" t="n">
        <x:v>1</x:v>
      </x:c>
      <x:c r="AB8" s="26" t="str">
        <x:f>IF(M8&gt;=0.75,"Universal / núcleo",IF(M8&gt;=0.5,"Consolidada",IF(M8&gt;=0.25,"Selectiva","Baja prevalencia")))</x:f>
        <x:v>Baja prevalencia</x:v>
      </x:c>
      <x:c r="AC8" s="26" t="str">
        <x:v>No</x:v>
      </x:c>
      <x:c r="AD8" s="26" t="str">
        <x:f>IF(AND(AC8="Sí",L8&gt;=2,M8&lt;0.5,V8&gt;=45),"Emergente en grado",IF(AND(AC8="Sí",L8&lt;=1,Q8&gt;=2),"Emergente desde nivel avanzado",IF(AND(M8&lt;0.25,L8&gt;=1),"Nicho / especialización","")))</x:f>
        <x:v>Nicho / especialización</x:v>
      </x:c>
      <x:c r="AE8" s="26" t="str"/>
      <x:c r="AF8" s="26" t="str"/>
      <x:c r="AG8" s="26" t="str">
        <x:f>IF(AND(AB8="Universal / núcleo",AE8="Alta"),"Muy alta",IF(AND(OR(AD8="Emergente en grado",AD8="Emergente desde nivel avanzado"),AE8="Alta"),"Muy alta",IF(OR(AB8="Universal / núcleo",AB8="Consolidada",AE8="Alta"),"Alta",IF(OR(AD8&lt;&gt;"",AE8="Media"),"Media","Baja"))))</x:f>
        <x:v>Media</x:v>
      </x:c>
      <x:c r="AH8" s="26" t="str">
        <x:v>Comparar con la malla EPN Agro antes de decidir mantener/reforzar/integrar/añadir.</x:v>
      </x:c>
    </x:row>
    <x:row r="9">
      <x:c r="A9" s="26" t="str">
        <x:v>A01</x:v>
      </x:c>
      <x:c r="B9" s="26" t="str">
        <x:v>Matemáticas, Estadística y Computación</x:v>
      </x:c>
      <x:c r="C9" s="26" t="str">
        <x:v>S02</x:v>
      </x:c>
      <x:c r="D9" s="26" t="str">
        <x:v>Estadística y datos</x:v>
      </x:c>
      <x:c r="E9" s="26" t="str">
        <x:v>F0104</x:v>
      </x:c>
      <x:c r="F9" s="26" t="str">
        <x:v>Estadística y probabilidad</x:v>
      </x:c>
      <x:c r="G9" s="26" t="str">
        <x:v>Estadística descriptiva/inferencial y probabilidad.</x:v>
      </x:c>
      <x:c r="H9" s="26" t="n">
        <x:f>COUNTIF('04_Presencia_Curriculos'!D9:X9,"&gt;0")</x:f>
        <x:v>10</x:v>
      </x:c>
      <x:c r="I9" s="32" t="n">
        <x:f>H9/'01_Metodologia'!$F$4</x:f>
        <x:v>0.47619047619047616</x:v>
      </x:c>
      <x:c r="J9" s="26" t="n">
        <x:f>COUNTIF('04_Presencia_Curriculos'!D9:Q9,"&gt;0")</x:f>
        <x:v>9</x:v>
      </x:c>
      <x:c r="K9" s="32" t="n">
        <x:f>J9/'01_Metodologia'!$F$5</x:f>
        <x:v>0.6428571428571429</x:v>
      </x:c>
      <x:c r="L9" s="26" t="n">
        <x:f>COUNTIF('04_Presencia_Curriculos'!D9:P9,"&gt;0")</x:f>
        <x:v>9</x:v>
      </x:c>
      <x:c r="M9" s="32" t="n">
        <x:f>L9/'01_Metodologia'!$F$6</x:f>
        <x:v>0.6923076923076923</x:v>
      </x:c>
      <x:c r="N9" s="26" t="n">
        <x:f>COUNTIF('04_Presencia_Curriculos'!D9:P9,2)</x:f>
        <x:v>9</x:v>
      </x:c>
      <x:c r="O9" s="32" t="n">
        <x:f>N9/'01_Metodologia'!$F$6</x:f>
        <x:v>0.6923076923076923</x:v>
      </x:c>
      <x:c r="P9" s="26" t="n">
        <x:f>COUNTIF('04_Presencia_Curriculos'!D9:P9,1)</x:f>
        <x:v>0</x:v>
      </x:c>
      <x:c r="Q9" s="26" t="n">
        <x:f>COUNTIF('04_Presencia_Curriculos'!R9:X9,"&gt;0")</x:f>
        <x:v>1</x:v>
      </x:c>
      <x:c r="R9" s="32" t="n">
        <x:f>Q9/'01_Metodologia'!$F$7</x:f>
        <x:v>0.14285714285714285</x:v>
      </x:c>
      <x:c r="S9" s="36" t="n">
        <x:v>3.75</x:v>
      </x:c>
      <x:c r="T9" s="32" t="n">
        <x:f>AVERAGE('05_Peso_Creditos_Core'!D9:O9)</x:f>
        <x:v>0.018287037037037036</x:v>
      </x:c>
      <x:c r="U9" s="32" t="n">
        <x:f>MEDIAN('05_Peso_Creditos_Core'!D9:O9)</x:f>
        <x:v>0.025</x:v>
      </x:c>
      <x:c r="V9" s="34" t="n">
        <x:f>IF(COUNT('06_Posicion_Core'!D9:P9)=0,"",MEDIAN('06_Posicion_Core'!D9:P9))</x:f>
        <x:v>31.25</x:v>
      </x:c>
      <x:c r="W9" s="26" t="str">
        <x:f>IF(V9="","NR",IF(V9&lt;=25,"E1 Fundamentos",IF(V9&lt;=50,"E2 Fundamentos de ingeniería",IF(V9&lt;=75,"E3 Formación profesional","E4 Integración/especialización"))))</x:f>
        <x:v>E2 Fundamentos de ingeniería</x:v>
      </x:c>
      <x:c r="X9" s="26" t="n">
        <x:f>IF(COUNT('07_Profundidad_Core'!D9:P9)=0,"",MEDIAN('07_Profundidad_Core'!D9:P9))</x:f>
        <x:v>1</x:v>
      </x:c>
      <x:c r="Y9" s="26" t="str">
        <x:f>IF(X9="","NR",IF(X9=INT(X9),"N"&amp;TEXT(X9,"0"),"N"&amp;TEXT(INT(X9),"0")&amp;"–N"&amp;TEXT(INT(X9)+1,"0")))</x:f>
        <x:v>N1</x:v>
      </x:c>
      <x:c r="Z9" s="32" t="n">
        <x:v>0</x:v>
      </x:c>
      <x:c r="AA9" s="32" t="n">
        <x:v>0</x:v>
      </x:c>
      <x:c r="AB9" s="26" t="str">
        <x:f>IF(M9&gt;=0.75,"Universal / núcleo",IF(M9&gt;=0.5,"Consolidada",IF(M9&gt;=0.25,"Selectiva","Baja prevalencia")))</x:f>
        <x:v>Consolidada</x:v>
      </x:c>
      <x:c r="AC9" s="26" t="str">
        <x:v>No</x:v>
      </x:c>
      <x:c r="AD9" s="26" t="str">
        <x:f>IF(AND(AC9="Sí",L9&gt;=2,M9&lt;0.5,V9&gt;=45),"Emergente en grado",IF(AND(AC9="Sí",L9&lt;=1,Q9&gt;=2),"Emergente desde nivel avanzado",IF(AND(M9&lt;0.25,L9&gt;=1),"Nicho / especialización","")))</x:f>
      </x:c>
      <x:c r="AE9" s="26" t="str"/>
      <x:c r="AF9" s="26" t="str"/>
      <x:c r="AG9" s="26" t="str">
        <x:f>IF(AND(AB9="Universal / núcleo",AE9="Alta"),"Muy alta",IF(AND(OR(AD9="Emergente en grado",AD9="Emergente desde nivel avanzado"),AE9="Alta"),"Muy alta",IF(OR(AB9="Universal / núcleo",AB9="Consolidada",AE9="Alta"),"Alta",IF(OR(AD9&lt;&gt;"",AE9="Media"),"Media","Baja"))))</x:f>
        <x:v>Alta</x:v>
      </x:c>
      <x:c r="AH9" s="26" t="str">
        <x:v>Comparar con la malla EPN Agro antes de decidir mantener/reforzar/integrar/añadir.</x:v>
      </x:c>
    </x:row>
    <x:row r="10">
      <x:c r="A10" s="26" t="str">
        <x:v>A01</x:v>
      </x:c>
      <x:c r="B10" s="26" t="str">
        <x:v>Matemáticas, Estadística y Computación</x:v>
      </x:c>
      <x:c r="C10" s="26" t="str">
        <x:v>S02</x:v>
      </x:c>
      <x:c r="D10" s="26" t="str">
        <x:v>Estadística y datos</x:v>
      </x:c>
      <x:c r="E10" s="26" t="str">
        <x:v>F0105</x:v>
      </x:c>
      <x:c r="F10" s="26" t="str">
        <x:v>Diseño experimental y análisis multivariante</x:v>
      </x:c>
      <x:c r="G10" s="26" t="str">
        <x:v>Diseño experimental y análisis avanzado de datos.</x:v>
      </x:c>
      <x:c r="H10" s="26" t="n">
        <x:f>COUNTIF('04_Presencia_Curriculos'!D10:X10,"&gt;0")</x:f>
        <x:v>1</x:v>
      </x:c>
      <x:c r="I10" s="32" t="n">
        <x:f>H10/'01_Metodologia'!$F$4</x:f>
        <x:v>0.047619047619047616</x:v>
      </x:c>
      <x:c r="J10" s="26" t="n">
        <x:f>COUNTIF('04_Presencia_Curriculos'!D10:Q10,"&gt;0")</x:f>
        <x:v>0</x:v>
      </x:c>
      <x:c r="K10" s="32" t="n">
        <x:f>J10/'01_Metodologia'!$F$5</x:f>
        <x:v>0</x:v>
      </x:c>
      <x:c r="L10" s="26" t="n">
        <x:f>COUNTIF('04_Presencia_Curriculos'!D10:P10,"&gt;0")</x:f>
        <x:v>0</x:v>
      </x:c>
      <x:c r="M10" s="32" t="n">
        <x:f>L10/'01_Metodologia'!$F$6</x:f>
        <x:v>0</x:v>
      </x:c>
      <x:c r="N10" s="26" t="n">
        <x:f>COUNTIF('04_Presencia_Curriculos'!D10:P10,2)</x:f>
        <x:v>0</x:v>
      </x:c>
      <x:c r="O10" s="32" t="n">
        <x:f>N10/'01_Metodologia'!$F$6</x:f>
        <x:v>0</x:v>
      </x:c>
      <x:c r="P10" s="26" t="n">
        <x:f>COUNTIF('04_Presencia_Curriculos'!D10:P10,1)</x:f>
        <x:v>0</x:v>
      </x:c>
      <x:c r="Q10" s="26" t="n">
        <x:f>COUNTIF('04_Presencia_Curriculos'!R10:X10,"&gt;0")</x:f>
        <x:v>1</x:v>
      </x:c>
      <x:c r="R10" s="32" t="n">
        <x:f>Q10/'01_Metodologia'!$F$7</x:f>
        <x:v>0.14285714285714285</x:v>
      </x:c>
      <x:c r="S10" s="36" t="n">
        <x:v>0</x:v>
      </x:c>
      <x:c r="T10" s="32" t="n">
        <x:f>AVERAGE('05_Peso_Creditos_Core'!D10:O10)</x:f>
        <x:v>0</x:v>
      </x:c>
      <x:c r="U10" s="32" t="n">
        <x:f>MEDIAN('05_Peso_Creditos_Core'!D10:O10)</x:f>
        <x:v>0</x:v>
      </x:c>
      <x:c r="V10" s="34" t="str">
        <x:f>IF(COUNT('06_Posicion_Core'!D10:P10)=0,"",MEDIAN('06_Posicion_Core'!D10:P10))</x:f>
      </x:c>
      <x:c r="W10" s="26" t="str">
        <x:f>IF(V10="","NR",IF(V10&lt;=25,"E1 Fundamentos",IF(V10&lt;=50,"E2 Fundamentos de ingeniería",IF(V10&lt;=75,"E3 Formación profesional","E4 Integración/especialización"))))</x:f>
        <x:v>NR</x:v>
      </x:c>
      <x:c r="X10" s="26" t="str">
        <x:f>IF(COUNT('07_Profundidad_Core'!D10:P10)=0,"",MEDIAN('07_Profundidad_Core'!D10:P10))</x:f>
      </x:c>
      <x:c r="Y10" s="26" t="str">
        <x:f>IF(X10="","NR",IF(X10=INT(X10),"N"&amp;TEXT(X10,"0"),"N"&amp;TEXT(INT(X10),"0")&amp;"–N"&amp;TEXT(INT(X10)+1,"0")))</x:f>
        <x:v>NR</x:v>
      </x:c>
      <x:c r="Z10" s="32"/>
      <x:c r="AA10" s="32"/>
      <x:c r="AB10" s="26" t="str">
        <x:f>IF(M10&gt;=0.75,"Universal / núcleo",IF(M10&gt;=0.5,"Consolidada",IF(M10&gt;=0.25,"Selectiva","Baja prevalencia")))</x:f>
        <x:v>Baja prevalencia</x:v>
      </x:c>
      <x:c r="AC10" s="26" t="str">
        <x:v>No</x:v>
      </x:c>
      <x:c r="AD10" s="26" t="str">
        <x:f>IF(AND(AC10="Sí",L10&gt;=2,M10&lt;0.5,V10&gt;=45),"Emergente en grado",IF(AND(AC10="Sí",L10&lt;=1,Q10&gt;=2),"Emergente desde nivel avanzado",IF(AND(M10&lt;0.25,L10&gt;=1),"Nicho / especialización","")))</x:f>
      </x:c>
      <x:c r="AE10" s="26" t="str"/>
      <x:c r="AF10" s="26" t="str"/>
      <x:c r="AG10" s="26" t="str">
        <x:f>IF(AND(AB10="Universal / núcleo",AE10="Alta"),"Muy alta",IF(AND(OR(AD10="Emergente en grado",AD10="Emergente desde nivel avanzado"),AE10="Alta"),"Muy alta",IF(OR(AB10="Universal / núcleo",AB10="Consolidada",AE10="Alta"),"Alta",IF(OR(AD10&lt;&gt;"",AE10="Media"),"Media","Baja"))))</x:f>
        <x:v>Baja</x:v>
      </x:c>
      <x:c r="AH10" s="26" t="str">
        <x:v>Comparar con la malla EPN Agro antes de decidir mantener/reforzar/integrar/añadir.</x:v>
      </x:c>
    </x:row>
    <x:row r="11">
      <x:c r="A11" s="26" t="str">
        <x:v>A01</x:v>
      </x:c>
      <x:c r="B11" s="26" t="str">
        <x:v>Matemáticas, Estadística y Computación</x:v>
      </x:c>
      <x:c r="C11" s="26" t="str">
        <x:v>S03</x:v>
      </x:c>
      <x:c r="D11" s="26" t="str">
        <x:v>Computación</x:v>
      </x:c>
      <x:c r="E11" s="26" t="str">
        <x:v>F0106</x:v>
      </x:c>
      <x:c r="F11" s="26" t="str">
        <x:v>Métodos numéricos y programación</x:v>
      </x:c>
      <x:c r="G11" s="26" t="str">
        <x:v>Métodos numéricos, programación y cálculo científico.</x:v>
      </x:c>
      <x:c r="H11" s="26" t="n">
        <x:f>COUNTIF('04_Presencia_Curriculos'!D11:X11,"&gt;0")</x:f>
        <x:v>2</x:v>
      </x:c>
      <x:c r="I11" s="32" t="n">
        <x:f>H11/'01_Metodologia'!$F$4</x:f>
        <x:v>0.09523809523809523</x:v>
      </x:c>
      <x:c r="J11" s="26" t="n">
        <x:f>COUNTIF('04_Presencia_Curriculos'!D11:Q11,"&gt;0")</x:f>
        <x:v>2</x:v>
      </x:c>
      <x:c r="K11" s="32" t="n">
        <x:f>J11/'01_Metodologia'!$F$5</x:f>
        <x:v>0.14285714285714285</x:v>
      </x:c>
      <x:c r="L11" s="26" t="n">
        <x:f>COUNTIF('04_Presencia_Curriculos'!D11:P11,"&gt;0")</x:f>
        <x:v>2</x:v>
      </x:c>
      <x:c r="M11" s="32" t="n">
        <x:f>L11/'01_Metodologia'!$F$6</x:f>
        <x:v>0.15384615384615385</x:v>
      </x:c>
      <x:c r="N11" s="26" t="n">
        <x:f>COUNTIF('04_Presencia_Curriculos'!D11:P11,2)</x:f>
        <x:v>2</x:v>
      </x:c>
      <x:c r="O11" s="32" t="n">
        <x:f>N11/'01_Metodologia'!$F$6</x:f>
        <x:v>0.15384615384615385</x:v>
      </x:c>
      <x:c r="P11" s="26" t="n">
        <x:f>COUNTIF('04_Presencia_Curriculos'!D11:P11,1)</x:f>
        <x:v>0</x:v>
      </x:c>
      <x:c r="Q11" s="26" t="n">
        <x:f>COUNTIF('04_Presencia_Curriculos'!R11:X11,"&gt;0")</x:f>
        <x:v>0</x:v>
      </x:c>
      <x:c r="R11" s="32" t="n">
        <x:f>Q11/'01_Metodologia'!$F$7</x:f>
        <x:v>0</x:v>
      </x:c>
      <x:c r="S11" s="36" t="n">
        <x:v>0.5833333333333334</x:v>
      </x:c>
      <x:c r="T11" s="32" t="n">
        <x:f>AVERAGE('05_Peso_Creditos_Core'!D11:O11)</x:f>
        <x:v>0.002777777777777778</x:v>
      </x:c>
      <x:c r="U11" s="32" t="n">
        <x:f>MEDIAN('05_Peso_Creditos_Core'!D11:O11)</x:f>
        <x:v>0</x:v>
      </x:c>
      <x:c r="V11" s="34" t="n">
        <x:f>IF(COUNT('06_Posicion_Core'!D11:P11)=0,"",MEDIAN('06_Posicion_Core'!D11:P11))</x:f>
        <x:v>28.125</x:v>
      </x:c>
      <x:c r="W11" s="26" t="str">
        <x:f>IF(V11="","NR",IF(V11&lt;=25,"E1 Fundamentos",IF(V11&lt;=50,"E2 Fundamentos de ingeniería",IF(V11&lt;=75,"E3 Formación profesional","E4 Integración/especialización"))))</x:f>
        <x:v>E2 Fundamentos de ingeniería</x:v>
      </x:c>
      <x:c r="X11" s="26" t="n">
        <x:f>IF(COUNT('07_Profundidad_Core'!D11:P11)=0,"",MEDIAN('07_Profundidad_Core'!D11:P11))</x:f>
        <x:v>1</x:v>
      </x:c>
      <x:c r="Y11" s="26" t="str">
        <x:f>IF(X11="","NR",IF(X11=INT(X11),"N"&amp;TEXT(X11,"0"),"N"&amp;TEXT(INT(X11),"0")&amp;"–N"&amp;TEXT(INT(X11)+1,"0")))</x:f>
        <x:v>N1</x:v>
      </x:c>
      <x:c r="Z11" s="32" t="n">
        <x:v>0</x:v>
      </x:c>
      <x:c r="AA11" s="32" t="n">
        <x:v>1</x:v>
      </x:c>
      <x:c r="AB11" s="26" t="str">
        <x:f>IF(M11&gt;=0.75,"Universal / núcleo",IF(M11&gt;=0.5,"Consolidada",IF(M11&gt;=0.25,"Selectiva","Baja prevalencia")))</x:f>
        <x:v>Baja prevalencia</x:v>
      </x:c>
      <x:c r="AC11" s="26" t="str">
        <x:v>No</x:v>
      </x:c>
      <x:c r="AD11" s="26" t="str">
        <x:f>IF(AND(AC11="Sí",L11&gt;=2,M11&lt;0.5,V11&gt;=45),"Emergente en grado",IF(AND(AC11="Sí",L11&lt;=1,Q11&gt;=2),"Emergente desde nivel avanzado",IF(AND(M11&lt;0.25,L11&gt;=1),"Nicho / especialización","")))</x:f>
        <x:v>Nicho / especialización</x:v>
      </x:c>
      <x:c r="AE11" s="26" t="str">
        <x:v>Alta</x:v>
      </x:c>
      <x:c r="AF11" s="26" t="str">
        <x:v>Datos, programación e IA</x:v>
      </x:c>
      <x:c r="AG11" s="26" t="str">
        <x:f>IF(AND(AB11="Universal / núcleo",AE11="Alta"),"Muy alta",IF(AND(OR(AD11="Emergente en grado",AD11="Emergente desde nivel avanzado"),AE11="Alta"),"Muy alta",IF(OR(AB11="Universal / núcleo",AB11="Consolidada",AE11="Alta"),"Alta",IF(OR(AD11&lt;&gt;"",AE11="Media"),"Media","Baja"))))</x:f>
        <x:v>Alta</x:v>
      </x:c>
      <x:c r="AH11" s="26" t="str">
        <x:v>Comparar con la malla EPN Agro antes de decidir mantener/reforzar/integrar/añadir.</x:v>
      </x:c>
    </x:row>
    <x:row r="12">
      <x:c r="A12" s="26" t="str">
        <x:v>A01</x:v>
      </x:c>
      <x:c r="B12" s="26" t="str">
        <x:v>Matemáticas, Estadística y Computación</x:v>
      </x:c>
      <x:c r="C12" s="26" t="str">
        <x:v>S03</x:v>
      </x:c>
      <x:c r="D12" s="26" t="str">
        <x:v>Computación</x:v>
      </x:c>
      <x:c r="E12" s="26" t="str">
        <x:v>F0107</x:v>
      </x:c>
      <x:c r="F12" s="26" t="str">
        <x:v>Informática, bases de datos y software</x:v>
      </x:c>
      <x:c r="G12" s="26" t="str">
        <x:v>Informática general, bases de datos y software.</x:v>
      </x:c>
      <x:c r="H12" s="26" t="n">
        <x:f>COUNTIF('04_Presencia_Curriculos'!D12:X12,"&gt;0")</x:f>
        <x:v>10</x:v>
      </x:c>
      <x:c r="I12" s="32" t="n">
        <x:f>H12/'01_Metodologia'!$F$4</x:f>
        <x:v>0.47619047619047616</x:v>
      </x:c>
      <x:c r="J12" s="26" t="n">
        <x:f>COUNTIF('04_Presencia_Curriculos'!D12:Q12,"&gt;0")</x:f>
        <x:v>7</x:v>
      </x:c>
      <x:c r="K12" s="32" t="n">
        <x:f>J12/'01_Metodologia'!$F$5</x:f>
        <x:v>0.5</x:v>
      </x:c>
      <x:c r="L12" s="26" t="n">
        <x:f>COUNTIF('04_Presencia_Curriculos'!D12:P12,"&gt;0")</x:f>
        <x:v>7</x:v>
      </x:c>
      <x:c r="M12" s="32" t="n">
        <x:f>L12/'01_Metodologia'!$F$6</x:f>
        <x:v>0.5384615384615384</x:v>
      </x:c>
      <x:c r="N12" s="26" t="n">
        <x:f>COUNTIF('04_Presencia_Curriculos'!D12:P12,2)</x:f>
        <x:v>6</x:v>
      </x:c>
      <x:c r="O12" s="32" t="n">
        <x:f>N12/'01_Metodologia'!$F$6</x:f>
        <x:v>0.46153846153846156</x:v>
      </x:c>
      <x:c r="P12" s="26" t="n">
        <x:f>COUNTIF('04_Presencia_Curriculos'!D12:P12,1)</x:f>
        <x:v>1</x:v>
      </x:c>
      <x:c r="Q12" s="26" t="n">
        <x:f>COUNTIF('04_Presencia_Curriculos'!R12:X12,"&gt;0")</x:f>
        <x:v>3</x:v>
      </x:c>
      <x:c r="R12" s="32" t="n">
        <x:f>Q12/'01_Metodologia'!$F$7</x:f>
        <x:v>0.42857142857142855</x:v>
      </x:c>
      <x:c r="S12" s="36" t="n">
        <x:v>1.6666666666666667</x:v>
      </x:c>
      <x:c r="T12" s="32" t="n">
        <x:f>AVERAGE('05_Peso_Creditos_Core'!D12:O12)</x:f>
        <x:v>0.008564814814814815</x:v>
      </x:c>
      <x:c r="U12" s="32" t="n">
        <x:f>MEDIAN('05_Peso_Creditos_Core'!D12:O12)</x:f>
        <x:v>0</x:v>
      </x:c>
      <x:c r="V12" s="34" t="n">
        <x:f>IF(COUNT('06_Posicion_Core'!D12:P12)=0,"",MEDIAN('06_Posicion_Core'!D12:P12))</x:f>
        <x:v>25</x:v>
      </x:c>
      <x:c r="W12" s="26" t="str">
        <x:f>IF(V12="","NR",IF(V12&lt;=25,"E1 Fundamentos",IF(V12&lt;=50,"E2 Fundamentos de ingeniería",IF(V12&lt;=75,"E3 Formación profesional","E4 Integración/especialización"))))</x:f>
        <x:v>E1 Fundamentos</x:v>
      </x:c>
      <x:c r="X12" s="26" t="n">
        <x:f>IF(COUNT('07_Profundidad_Core'!D12:P12)=0,"",MEDIAN('07_Profundidad_Core'!D12:P12))</x:f>
        <x:v>1</x:v>
      </x:c>
      <x:c r="Y12" s="26" t="str">
        <x:f>IF(X12="","NR",IF(X12=INT(X12),"N"&amp;TEXT(X12,"0"),"N"&amp;TEXT(INT(X12),"0")&amp;"–N"&amp;TEXT(INT(X12)+1,"0")))</x:f>
        <x:v>N1</x:v>
      </x:c>
      <x:c r="Z12" s="32" t="n">
        <x:v>0</x:v>
      </x:c>
      <x:c r="AA12" s="32" t="n">
        <x:v>0.7142857142857143</x:v>
      </x:c>
      <x:c r="AB12" s="26" t="str">
        <x:f>IF(M12&gt;=0.75,"Universal / núcleo",IF(M12&gt;=0.5,"Consolidada",IF(M12&gt;=0.25,"Selectiva","Baja prevalencia")))</x:f>
        <x:v>Consolidada</x:v>
      </x:c>
      <x:c r="AC12" s="26" t="str">
        <x:v>No</x:v>
      </x:c>
      <x:c r="AD12" s="26" t="str">
        <x:f>IF(AND(AC12="Sí",L12&gt;=2,M12&lt;0.5,V12&gt;=45),"Emergente en grado",IF(AND(AC12="Sí",L12&lt;=1,Q12&gt;=2),"Emergente desde nivel avanzado",IF(AND(M12&lt;0.25,L12&gt;=1),"Nicho / especialización","")))</x:f>
      </x:c>
      <x:c r="AE12" s="26" t="str"/>
      <x:c r="AF12" s="26" t="str"/>
      <x:c r="AG12" s="26" t="str">
        <x:f>IF(AND(AB12="Universal / núcleo",AE12="Alta"),"Muy alta",IF(AND(OR(AD12="Emergente en grado",AD12="Emergente desde nivel avanzado"),AE12="Alta"),"Muy alta",IF(OR(AB12="Universal / núcleo",AB12="Consolidada",AE12="Alta"),"Alta",IF(OR(AD12&lt;&gt;"",AE12="Media"),"Media","Baja"))))</x:f>
        <x:v>Alta</x:v>
      </x:c>
      <x:c r="AH12" s="26" t="str">
        <x:v>Comparar con la malla EPN Agro antes de decidir mantener/reforzar/integrar/añadir.</x:v>
      </x:c>
    </x:row>
    <x:row r="13">
      <x:c r="A13" s="26" t="str">
        <x:v>A01</x:v>
      </x:c>
      <x:c r="B13" s="26" t="str">
        <x:v>Matemáticas, Estadística y Computación</x:v>
      </x:c>
      <x:c r="C13" s="26" t="str">
        <x:v>S03</x:v>
      </x:c>
      <x:c r="D13" s="26" t="str">
        <x:v>Computación</x:v>
      </x:c>
      <x:c r="E13" s="26" t="str">
        <x:v>F0108</x:v>
      </x:c>
      <x:c r="F13" s="26" t="str">
        <x:v>Ciencia de datos, IA y analítica</x:v>
      </x:c>
      <x:c r="G13" s="26" t="str">
        <x:v>Data science, IA, ML y visualización.</x:v>
      </x:c>
      <x:c r="H13" s="26" t="n">
        <x:f>COUNTIF('04_Presencia_Curriculos'!D13:X13,"&gt;0")</x:f>
        <x:v>3</x:v>
      </x:c>
      <x:c r="I13" s="32" t="n">
        <x:f>H13/'01_Metodologia'!$F$4</x:f>
        <x:v>0.14285714285714285</x:v>
      </x:c>
      <x:c r="J13" s="26" t="n">
        <x:f>COUNTIF('04_Presencia_Curriculos'!D13:Q13,"&gt;0")</x:f>
        <x:v>0</x:v>
      </x:c>
      <x:c r="K13" s="32" t="n">
        <x:f>J13/'01_Metodologia'!$F$5</x:f>
        <x:v>0</x:v>
      </x:c>
      <x:c r="L13" s="26" t="n">
        <x:f>COUNTIF('04_Presencia_Curriculos'!D13:P13,"&gt;0")</x:f>
        <x:v>0</x:v>
      </x:c>
      <x:c r="M13" s="32" t="n">
        <x:f>L13/'01_Metodologia'!$F$6</x:f>
        <x:v>0</x:v>
      </x:c>
      <x:c r="N13" s="26" t="n">
        <x:f>COUNTIF('04_Presencia_Curriculos'!D13:P13,2)</x:f>
        <x:v>0</x:v>
      </x:c>
      <x:c r="O13" s="32" t="n">
        <x:f>N13/'01_Metodologia'!$F$6</x:f>
        <x:v>0</x:v>
      </x:c>
      <x:c r="P13" s="26" t="n">
        <x:f>COUNTIF('04_Presencia_Curriculos'!D13:P13,1)</x:f>
        <x:v>0</x:v>
      </x:c>
      <x:c r="Q13" s="26" t="n">
        <x:f>COUNTIF('04_Presencia_Curriculos'!R13:X13,"&gt;0")</x:f>
        <x:v>3</x:v>
      </x:c>
      <x:c r="R13" s="32" t="n">
        <x:f>Q13/'01_Metodologia'!$F$7</x:f>
        <x:v>0.42857142857142855</x:v>
      </x:c>
      <x:c r="S13" s="36" t="n">
        <x:v>0</x:v>
      </x:c>
      <x:c r="T13" s="32" t="n">
        <x:f>AVERAGE('05_Peso_Creditos_Core'!D13:O13)</x:f>
        <x:v>0</x:v>
      </x:c>
      <x:c r="U13" s="32" t="n">
        <x:f>MEDIAN('05_Peso_Creditos_Core'!D13:O13)</x:f>
        <x:v>0</x:v>
      </x:c>
      <x:c r="V13" s="34" t="str">
        <x:f>IF(COUNT('06_Posicion_Core'!D13:P13)=0,"",MEDIAN('06_Posicion_Core'!D13:P13))</x:f>
      </x:c>
      <x:c r="W13" s="26" t="str">
        <x:f>IF(V13="","NR",IF(V13&lt;=25,"E1 Fundamentos",IF(V13&lt;=50,"E2 Fundamentos de ingeniería",IF(V13&lt;=75,"E3 Formación profesional","E4 Integración/especialización"))))</x:f>
        <x:v>NR</x:v>
      </x:c>
      <x:c r="X13" s="26" t="str">
        <x:f>IF(COUNT('07_Profundidad_Core'!D13:P13)=0,"",MEDIAN('07_Profundidad_Core'!D13:P13))</x:f>
      </x:c>
      <x:c r="Y13" s="26" t="str">
        <x:f>IF(X13="","NR",IF(X13=INT(X13),"N"&amp;TEXT(X13,"0"),"N"&amp;TEXT(INT(X13),"0")&amp;"–N"&amp;TEXT(INT(X13)+1,"0")))</x:f>
        <x:v>NR</x:v>
      </x:c>
      <x:c r="Z13" s="32"/>
      <x:c r="AA13" s="32"/>
      <x:c r="AB13" s="26" t="str">
        <x:f>IF(M13&gt;=0.75,"Universal / núcleo",IF(M13&gt;=0.5,"Consolidada",IF(M13&gt;=0.25,"Selectiva","Baja prevalencia")))</x:f>
        <x:v>Baja prevalencia</x:v>
      </x:c>
      <x:c r="AC13" s="26" t="str">
        <x:v>Sí</x:v>
      </x:c>
      <x:c r="AD13" s="26" t="str">
        <x:f>IF(AND(AC13="Sí",L13&gt;=2,M13&lt;0.5,V13&gt;=45),"Emergente en grado",IF(AND(AC13="Sí",L13&lt;=1,Q13&gt;=2),"Emergente desde nivel avanzado",IF(AND(M13&lt;0.25,L13&gt;=1),"Nicho / especialización","")))</x:f>
        <x:v>Emergente desde nivel avanzado</x:v>
      </x:c>
      <x:c r="AE13" s="26" t="str">
        <x:v>Alta</x:v>
      </x:c>
      <x:c r="AF13" s="26" t="str">
        <x:v>Datos, programación e IA</x:v>
      </x:c>
      <x:c r="AG13" s="26" t="str">
        <x:f>IF(AND(AB13="Universal / núcleo",AE13="Alta"),"Muy alta",IF(AND(OR(AD13="Emergente en grado",AD13="Emergente desde nivel avanzado"),AE13="Alta"),"Muy alta",IF(OR(AB13="Universal / núcleo",AB13="Consolidada",AE13="Alta"),"Alta",IF(OR(AD13&lt;&gt;"",AE13="Media"),"Media","Baja"))))</x:f>
        <x:v>Muy alta</x:v>
      </x:c>
      <x:c r="AH13" s="26" t="str">
        <x:v>Comparar con la malla EPN Agro antes de decidir mantener/reforzar/integrar/añadir.</x:v>
      </x:c>
    </x:row>
    <x:row r="14">
      <x:c r="A14" s="26" t="str">
        <x:v>A02</x:v>
      </x:c>
      <x:c r="B14" s="26" t="str">
        <x:v>Física y Química Fundamental</x:v>
      </x:c>
      <x:c r="C14" s="26" t="str">
        <x:v>S04</x:v>
      </x:c>
      <x:c r="D14" s="26" t="str">
        <x:v>Física</x:v>
      </x:c>
      <x:c r="E14" s="26" t="str">
        <x:v>F0201</x:v>
      </x:c>
      <x:c r="F14" s="26" t="str">
        <x:v>Física general y aplicada</x:v>
      </x:c>
      <x:c r="G14" s="26" t="str">
        <x:v>Física general/aplicada.</x:v>
      </x:c>
      <x:c r="H14" s="26" t="n">
        <x:f>COUNTIF('04_Presencia_Curriculos'!D14:X14,"&gt;0")</x:f>
        <x:v>16</x:v>
      </x:c>
      <x:c r="I14" s="32" t="n">
        <x:f>H14/'01_Metodologia'!$F$4</x:f>
        <x:v>0.7619047619047619</x:v>
      </x:c>
      <x:c r="J14" s="26" t="n">
        <x:f>COUNTIF('04_Presencia_Curriculos'!D14:Q14,"&gt;0")</x:f>
        <x:v>14</x:v>
      </x:c>
      <x:c r="K14" s="32" t="n">
        <x:f>J14/'01_Metodologia'!$F$5</x:f>
        <x:v>1</x:v>
      </x:c>
      <x:c r="L14" s="26" t="n">
        <x:f>COUNTIF('04_Presencia_Curriculos'!D14:P14,"&gt;0")</x:f>
        <x:v>13</x:v>
      </x:c>
      <x:c r="M14" s="32" t="n">
        <x:f>L14/'01_Metodologia'!$F$6</x:f>
        <x:v>1</x:v>
      </x:c>
      <x:c r="N14" s="26" t="n">
        <x:f>COUNTIF('04_Presencia_Curriculos'!D14:P14,2)</x:f>
        <x:v>13</x:v>
      </x:c>
      <x:c r="O14" s="32" t="n">
        <x:f>N14/'01_Metodologia'!$F$6</x:f>
        <x:v>1</x:v>
      </x:c>
      <x:c r="P14" s="26" t="n">
        <x:f>COUNTIF('04_Presencia_Curriculos'!D14:P14,1)</x:f>
        <x:v>0</x:v>
      </x:c>
      <x:c r="Q14" s="26" t="n">
        <x:f>COUNTIF('04_Presencia_Curriculos'!R14:X14,"&gt;0")</x:f>
        <x:v>2</x:v>
      </x:c>
      <x:c r="R14" s="32" t="n">
        <x:f>Q14/'01_Metodologia'!$F$7</x:f>
        <x:v>0.2857142857142857</x:v>
      </x:c>
      <x:c r="S14" s="36" t="n">
        <x:v>9.166666666666666</x:v>
      </x:c>
      <x:c r="T14" s="32" t="n">
        <x:f>AVERAGE('05_Peso_Creditos_Core'!D14:O14)</x:f>
        <x:v>0.045370370370370366</x:v>
      </x:c>
      <x:c r="U14" s="32" t="n">
        <x:f>MEDIAN('05_Peso_Creditos_Core'!D14:O14)</x:f>
        <x:v>0.05</x:v>
      </x:c>
      <x:c r="V14" s="34" t="n">
        <x:f>IF(COUNT('06_Posicion_Core'!D14:P14)=0,"",MEDIAN('06_Posicion_Core'!D14:P14))</x:f>
        <x:v>8.333333333333332</x:v>
      </x:c>
      <x:c r="W14" s="26" t="str">
        <x:f>IF(V14="","NR",IF(V14&lt;=25,"E1 Fundamentos",IF(V14&lt;=50,"E2 Fundamentos de ingeniería",IF(V14&lt;=75,"E3 Formación profesional","E4 Integración/especialización"))))</x:f>
        <x:v>E1 Fundamentos</x:v>
      </x:c>
      <x:c r="X14" s="26" t="n">
        <x:f>IF(COUNT('07_Profundidad_Core'!D14:P14)=0,"",MEDIAN('07_Profundidad_Core'!D14:P14))</x:f>
        <x:v>1</x:v>
      </x:c>
      <x:c r="Y14" s="26" t="str">
        <x:f>IF(X14="","NR",IF(X14=INT(X14),"N"&amp;TEXT(X14,"0"),"N"&amp;TEXT(INT(X14),"0")&amp;"–N"&amp;TEXT(INT(X14)+1,"0")))</x:f>
        <x:v>N1</x:v>
      </x:c>
      <x:c r="Z14" s="32" t="n">
        <x:v>0</x:v>
      </x:c>
      <x:c r="AA14" s="32" t="n">
        <x:v>0</x:v>
      </x:c>
      <x:c r="AB14" s="26" t="str">
        <x:f>IF(M14&gt;=0.75,"Universal / núcleo",IF(M14&gt;=0.5,"Consolidada",IF(M14&gt;=0.25,"Selectiva","Baja prevalencia")))</x:f>
        <x:v>Universal / núcleo</x:v>
      </x:c>
      <x:c r="AC14" s="26" t="str">
        <x:v>No</x:v>
      </x:c>
      <x:c r="AD14" s="26" t="str">
        <x:f>IF(AND(AC14="Sí",L14&gt;=2,M14&lt;0.5,V14&gt;=45),"Emergente en grado",IF(AND(AC14="Sí",L14&lt;=1,Q14&gt;=2),"Emergente desde nivel avanzado",IF(AND(M14&lt;0.25,L14&gt;=1),"Nicho / especialización","")))</x:f>
      </x:c>
      <x:c r="AE14" s="26" t="str"/>
      <x:c r="AF14" s="26" t="str"/>
      <x:c r="AG14" s="26" t="str">
        <x:f>IF(AND(AB14="Universal / núcleo",AE14="Alta"),"Muy alta",IF(AND(OR(AD14="Emergente en grado",AD14="Emergente desde nivel avanzado"),AE14="Alta"),"Muy alta",IF(OR(AB14="Universal / núcleo",AB14="Consolidada",AE14="Alta"),"Alta",IF(OR(AD14&lt;&gt;"",AE14="Media"),"Media","Baja"))))</x:f>
        <x:v>Alta</x:v>
      </x:c>
      <x:c r="AH14" s="26" t="str">
        <x:v>Comparar con la malla EPN Agro antes de decidir mantener/reforzar/integrar/añadir.</x:v>
      </x:c>
    </x:row>
    <x:row r="15">
      <x:c r="A15" s="26" t="str">
        <x:v>A02</x:v>
      </x:c>
      <x:c r="B15" s="26" t="str">
        <x:v>Física y Química Fundamental</x:v>
      </x:c>
      <x:c r="C15" s="26" t="str">
        <x:v>S05</x:v>
      </x:c>
      <x:c r="D15" s="26" t="str">
        <x:v>Química</x:v>
      </x:c>
      <x:c r="E15" s="26" t="str">
        <x:v>F0202</x:v>
      </x:c>
      <x:c r="F15" s="26" t="str">
        <x:v>Química general e inorgánica</x:v>
      </x:c>
      <x:c r="G15" s="26" t="str">
        <x:v>Química general, inorgánica y estequiometría.</x:v>
      </x:c>
      <x:c r="H15" s="26" t="n">
        <x:f>COUNTIF('04_Presencia_Curriculos'!D15:X15,"&gt;0")</x:f>
        <x:v>15</x:v>
      </x:c>
      <x:c r="I15" s="32" t="n">
        <x:f>H15/'01_Metodologia'!$F$4</x:f>
        <x:v>0.7142857142857143</x:v>
      </x:c>
      <x:c r="J15" s="26" t="n">
        <x:f>COUNTIF('04_Presencia_Curriculos'!D15:Q15,"&gt;0")</x:f>
        <x:v>14</x:v>
      </x:c>
      <x:c r="K15" s="32" t="n">
        <x:f>J15/'01_Metodologia'!$F$5</x:f>
        <x:v>1</x:v>
      </x:c>
      <x:c r="L15" s="26" t="n">
        <x:f>COUNTIF('04_Presencia_Curriculos'!D15:P15,"&gt;0")</x:f>
        <x:v>13</x:v>
      </x:c>
      <x:c r="M15" s="32" t="n">
        <x:f>L15/'01_Metodologia'!$F$6</x:f>
        <x:v>1</x:v>
      </x:c>
      <x:c r="N15" s="26" t="n">
        <x:f>COUNTIF('04_Presencia_Curriculos'!D15:P15,2)</x:f>
        <x:v>13</x:v>
      </x:c>
      <x:c r="O15" s="32" t="n">
        <x:f>N15/'01_Metodologia'!$F$6</x:f>
        <x:v>1</x:v>
      </x:c>
      <x:c r="P15" s="26" t="n">
        <x:f>COUNTIF('04_Presencia_Curriculos'!D15:P15,1)</x:f>
        <x:v>0</x:v>
      </x:c>
      <x:c r="Q15" s="26" t="n">
        <x:f>COUNTIF('04_Presencia_Curriculos'!R15:X15,"&gt;0")</x:f>
        <x:v>1</x:v>
      </x:c>
      <x:c r="R15" s="32" t="n">
        <x:f>Q15/'01_Metodologia'!$F$7</x:f>
        <x:v>0.14285714285714285</x:v>
      </x:c>
      <x:c r="S15" s="36" t="n">
        <x:v>8.333333333333334</x:v>
      </x:c>
      <x:c r="T15" s="32" t="n">
        <x:f>AVERAGE('05_Peso_Creditos_Core'!D15:O15)</x:f>
        <x:v>0.04212962962962963</x:v>
      </x:c>
      <x:c r="U15" s="32" t="n">
        <x:f>MEDIAN('05_Peso_Creditos_Core'!D15:O15)</x:f>
        <x:v>0.03888888888888889</x:v>
      </x:c>
      <x:c r="V15" s="34" t="n">
        <x:f>IF(COUNT('06_Posicion_Core'!D15:P15)=0,"",MEDIAN('06_Posicion_Core'!D15:P15))</x:f>
        <x:v>8.333333333333332</x:v>
      </x:c>
      <x:c r="W15" s="26" t="str">
        <x:f>IF(V15="","NR",IF(V15&lt;=25,"E1 Fundamentos",IF(V15&lt;=50,"E2 Fundamentos de ingeniería",IF(V15&lt;=75,"E3 Formación profesional","E4 Integración/especialización"))))</x:f>
        <x:v>E1 Fundamentos</x:v>
      </x:c>
      <x:c r="X15" s="26" t="n">
        <x:f>IF(COUNT('07_Profundidad_Core'!D15:P15)=0,"",MEDIAN('07_Profundidad_Core'!D15:P15))</x:f>
        <x:v>1</x:v>
      </x:c>
      <x:c r="Y15" s="26" t="str">
        <x:f>IF(X15="","NR",IF(X15=INT(X15),"N"&amp;TEXT(X15,"0"),"N"&amp;TEXT(INT(X15),"0")&amp;"–N"&amp;TEXT(INT(X15)+1,"0")))</x:f>
        <x:v>N1</x:v>
      </x:c>
      <x:c r="Z15" s="32" t="n">
        <x:v>0.15384615384615385</x:v>
      </x:c>
      <x:c r="AA15" s="32" t="n">
        <x:v>0</x:v>
      </x:c>
      <x:c r="AB15" s="26" t="str">
        <x:f>IF(M15&gt;=0.75,"Universal / núcleo",IF(M15&gt;=0.5,"Consolidada",IF(M15&gt;=0.25,"Selectiva","Baja prevalencia")))</x:f>
        <x:v>Universal / núcleo</x:v>
      </x:c>
      <x:c r="AC15" s="26" t="str">
        <x:v>No</x:v>
      </x:c>
      <x:c r="AD15" s="26" t="str">
        <x:f>IF(AND(AC15="Sí",L15&gt;=2,M15&lt;0.5,V15&gt;=45),"Emergente en grado",IF(AND(AC15="Sí",L15&lt;=1,Q15&gt;=2),"Emergente desde nivel avanzado",IF(AND(M15&lt;0.25,L15&gt;=1),"Nicho / especialización","")))</x:f>
      </x:c>
      <x:c r="AE15" s="26" t="str"/>
      <x:c r="AF15" s="26" t="str"/>
      <x:c r="AG15" s="26" t="str">
        <x:f>IF(AND(AB15="Universal / núcleo",AE15="Alta"),"Muy alta",IF(AND(OR(AD15="Emergente en grado",AD15="Emergente desde nivel avanzado"),AE15="Alta"),"Muy alta",IF(OR(AB15="Universal / núcleo",AB15="Consolidada",AE15="Alta"),"Alta",IF(OR(AD15&lt;&gt;"",AE15="Media"),"Media","Baja"))))</x:f>
        <x:v>Alta</x:v>
      </x:c>
      <x:c r="AH15" s="26" t="str">
        <x:v>Comparar con la malla EPN Agro antes de decidir mantener/reforzar/integrar/añadir.</x:v>
      </x:c>
    </x:row>
    <x:row r="16">
      <x:c r="A16" s="26" t="str">
        <x:v>A02</x:v>
      </x:c>
      <x:c r="B16" s="26" t="str">
        <x:v>Física y Química Fundamental</x:v>
      </x:c>
      <x:c r="C16" s="26" t="str">
        <x:v>S05</x:v>
      </x:c>
      <x:c r="D16" s="26" t="str">
        <x:v>Química</x:v>
      </x:c>
      <x:c r="E16" s="26" t="str">
        <x:v>F0203</x:v>
      </x:c>
      <x:c r="F16" s="26" t="str">
        <x:v>Química orgánica</x:v>
      </x:c>
      <x:c r="G16" s="26" t="str">
        <x:v>Química orgánica general.</x:v>
      </x:c>
      <x:c r="H16" s="26" t="n">
        <x:f>COUNTIF('04_Presencia_Curriculos'!D16:X16,"&gt;0")</x:f>
        <x:v>5</x:v>
      </x:c>
      <x:c r="I16" s="32" t="n">
        <x:f>H16/'01_Metodologia'!$F$4</x:f>
        <x:v>0.23809523809523808</x:v>
      </x:c>
      <x:c r="J16" s="26" t="n">
        <x:f>COUNTIF('04_Presencia_Curriculos'!D16:Q16,"&gt;0")</x:f>
        <x:v>5</x:v>
      </x:c>
      <x:c r="K16" s="32" t="n">
        <x:f>J16/'01_Metodologia'!$F$5</x:f>
        <x:v>0.35714285714285715</x:v>
      </x:c>
      <x:c r="L16" s="26" t="n">
        <x:f>COUNTIF('04_Presencia_Curriculos'!D16:P16,"&gt;0")</x:f>
        <x:v>5</x:v>
      </x:c>
      <x:c r="M16" s="32" t="n">
        <x:f>L16/'01_Metodologia'!$F$6</x:f>
        <x:v>0.38461538461538464</x:v>
      </x:c>
      <x:c r="N16" s="26" t="n">
        <x:f>COUNTIF('04_Presencia_Curriculos'!D16:P16,2)</x:f>
        <x:v>5</x:v>
      </x:c>
      <x:c r="O16" s="32" t="n">
        <x:f>N16/'01_Metodologia'!$F$6</x:f>
        <x:v>0.38461538461538464</x:v>
      </x:c>
      <x:c r="P16" s="26" t="n">
        <x:f>COUNTIF('04_Presencia_Curriculos'!D16:P16,1)</x:f>
        <x:v>0</x:v>
      </x:c>
      <x:c r="Q16" s="26" t="n">
        <x:f>COUNTIF('04_Presencia_Curriculos'!R16:X16,"&gt;0")</x:f>
        <x:v>0</x:v>
      </x:c>
      <x:c r="R16" s="32" t="n">
        <x:f>Q16/'01_Metodologia'!$F$7</x:f>
        <x:v>0</x:v>
      </x:c>
      <x:c r="S16" s="36" t="n">
        <x:v>2.4166666666666665</x:v>
      </x:c>
      <x:c r="T16" s="32" t="n">
        <x:f>AVERAGE('05_Peso_Creditos_Core'!D16:O16)</x:f>
        <x:v>0.013425925925925924</x:v>
      </x:c>
      <x:c r="U16" s="32" t="n">
        <x:f>MEDIAN('05_Peso_Creditos_Core'!D16:O16)</x:f>
        <x:v>0</x:v>
      </x:c>
      <x:c r="V16" s="34" t="n">
        <x:f>IF(COUNT('06_Posicion_Core'!D16:P16)=0,"",MEDIAN('06_Posicion_Core'!D16:P16))</x:f>
        <x:v>25</x:v>
      </x:c>
      <x:c r="W16" s="26" t="str">
        <x:f>IF(V16="","NR",IF(V16&lt;=25,"E1 Fundamentos",IF(V16&lt;=50,"E2 Fundamentos de ingeniería",IF(V16&lt;=75,"E3 Formación profesional","E4 Integración/especialización"))))</x:f>
        <x:v>E1 Fundamentos</x:v>
      </x:c>
      <x:c r="X16" s="26" t="n">
        <x:f>IF(COUNT('07_Profundidad_Core'!D16:P16)=0,"",MEDIAN('07_Profundidad_Core'!D16:P16))</x:f>
        <x:v>1</x:v>
      </x:c>
      <x:c r="Y16" s="26" t="str">
        <x:f>IF(X16="","NR",IF(X16=INT(X16),"N"&amp;TEXT(X16,"0"),"N"&amp;TEXT(INT(X16),"0")&amp;"–N"&amp;TEXT(INT(X16)+1,"0")))</x:f>
        <x:v>N1</x:v>
      </x:c>
      <x:c r="Z16" s="32" t="n">
        <x:v>0</x:v>
      </x:c>
      <x:c r="AA16" s="32" t="n">
        <x:v>0</x:v>
      </x:c>
      <x:c r="AB16" s="26" t="str">
        <x:f>IF(M16&gt;=0.75,"Universal / núcleo",IF(M16&gt;=0.5,"Consolidada",IF(M16&gt;=0.25,"Selectiva","Baja prevalencia")))</x:f>
        <x:v>Selectiva</x:v>
      </x:c>
      <x:c r="AC16" s="26" t="str">
        <x:v>No</x:v>
      </x:c>
      <x:c r="AD16" s="26" t="str">
        <x:f>IF(AND(AC16="Sí",L16&gt;=2,M16&lt;0.5,V16&gt;=45),"Emergente en grado",IF(AND(AC16="Sí",L16&lt;=1,Q16&gt;=2),"Emergente desde nivel avanzado",IF(AND(M16&lt;0.25,L16&gt;=1),"Nicho / especialización","")))</x:f>
      </x:c>
      <x:c r="AE16" s="26" t="str"/>
      <x:c r="AF16" s="26" t="str"/>
      <x:c r="AG16" s="26" t="str">
        <x:f>IF(AND(AB16="Universal / núcleo",AE16="Alta"),"Muy alta",IF(AND(OR(AD16="Emergente en grado",AD16="Emergente desde nivel avanzado"),AE16="Alta"),"Muy alta",IF(OR(AB16="Universal / núcleo",AB16="Consolidada",AE16="Alta"),"Alta",IF(OR(AD16&lt;&gt;"",AE16="Media"),"Media","Baja"))))</x:f>
        <x:v>Baja</x:v>
      </x:c>
      <x:c r="AH16" s="26" t="str">
        <x:v>Comparar con la malla EPN Agro antes de decidir mantener/reforzar/integrar/añadir.</x:v>
      </x:c>
    </x:row>
    <x:row r="17">
      <x:c r="A17" s="26" t="str">
        <x:v>A02</x:v>
      </x:c>
      <x:c r="B17" s="26" t="str">
        <x:v>Física y Química Fundamental</x:v>
      </x:c>
      <x:c r="C17" s="26" t="str">
        <x:v>S05</x:v>
      </x:c>
      <x:c r="D17" s="26" t="str">
        <x:v>Química</x:v>
      </x:c>
      <x:c r="E17" s="26" t="str">
        <x:v>F0204</x:v>
      </x:c>
      <x:c r="F17" s="26" t="str">
        <x:v>Fisicoquímica</x:v>
      </x:c>
      <x:c r="G17" s="26" t="str">
        <x:v>Fisicoquímica general.</x:v>
      </x:c>
      <x:c r="H17" s="26" t="n">
        <x:f>COUNTIF('04_Presencia_Curriculos'!D17:X17,"&gt;0")</x:f>
        <x:v>0</x:v>
      </x:c>
      <x:c r="I17" s="32" t="n">
        <x:f>H17/'01_Metodologia'!$F$4</x:f>
        <x:v>0</x:v>
      </x:c>
      <x:c r="J17" s="26" t="n">
        <x:f>COUNTIF('04_Presencia_Curriculos'!D17:Q17,"&gt;0")</x:f>
        <x:v>0</x:v>
      </x:c>
      <x:c r="K17" s="32" t="n">
        <x:f>J17/'01_Metodologia'!$F$5</x:f>
        <x:v>0</x:v>
      </x:c>
      <x:c r="L17" s="26" t="n">
        <x:f>COUNTIF('04_Presencia_Curriculos'!D17:P17,"&gt;0")</x:f>
        <x:v>0</x:v>
      </x:c>
      <x:c r="M17" s="32" t="n">
        <x:f>L17/'01_Metodologia'!$F$6</x:f>
        <x:v>0</x:v>
      </x:c>
      <x:c r="N17" s="26" t="n">
        <x:f>COUNTIF('04_Presencia_Curriculos'!D17:P17,2)</x:f>
        <x:v>0</x:v>
      </x:c>
      <x:c r="O17" s="32" t="n">
        <x:f>N17/'01_Metodologia'!$F$6</x:f>
        <x:v>0</x:v>
      </x:c>
      <x:c r="P17" s="26" t="n">
        <x:f>COUNTIF('04_Presencia_Curriculos'!D17:P17,1)</x:f>
        <x:v>0</x:v>
      </x:c>
      <x:c r="Q17" s="26" t="n">
        <x:f>COUNTIF('04_Presencia_Curriculos'!R17:X17,"&gt;0")</x:f>
        <x:v>0</x:v>
      </x:c>
      <x:c r="R17" s="32" t="n">
        <x:f>Q17/'01_Metodologia'!$F$7</x:f>
        <x:v>0</x:v>
      </x:c>
      <x:c r="S17" s="36" t="n">
        <x:v>0</x:v>
      </x:c>
      <x:c r="T17" s="32" t="n">
        <x:f>AVERAGE('05_Peso_Creditos_Core'!D17:O17)</x:f>
        <x:v>0</x:v>
      </x:c>
      <x:c r="U17" s="32" t="n">
        <x:f>MEDIAN('05_Peso_Creditos_Core'!D17:O17)</x:f>
        <x:v>0</x:v>
      </x:c>
      <x:c r="V17" s="34" t="str">
        <x:f>IF(COUNT('06_Posicion_Core'!D17:P17)=0,"",MEDIAN('06_Posicion_Core'!D17:P17))</x:f>
      </x:c>
      <x:c r="W17" s="26" t="str">
        <x:f>IF(V17="","NR",IF(V17&lt;=25,"E1 Fundamentos",IF(V17&lt;=50,"E2 Fundamentos de ingeniería",IF(V17&lt;=75,"E3 Formación profesional","E4 Integración/especialización"))))</x:f>
        <x:v>NR</x:v>
      </x:c>
      <x:c r="X17" s="26" t="str">
        <x:f>IF(COUNT('07_Profundidad_Core'!D17:P17)=0,"",MEDIAN('07_Profundidad_Core'!D17:P17))</x:f>
      </x:c>
      <x:c r="Y17" s="26" t="str">
        <x:f>IF(X17="","NR",IF(X17=INT(X17),"N"&amp;TEXT(X17,"0"),"N"&amp;TEXT(INT(X17),"0")&amp;"–N"&amp;TEXT(INT(X17)+1,"0")))</x:f>
        <x:v>NR</x:v>
      </x:c>
      <x:c r="Z17" s="32"/>
      <x:c r="AA17" s="32"/>
      <x:c r="AB17" s="26" t="str">
        <x:f>IF(M17&gt;=0.75,"Universal / núcleo",IF(M17&gt;=0.5,"Consolidada",IF(M17&gt;=0.25,"Selectiva","Baja prevalencia")))</x:f>
        <x:v>Baja prevalencia</x:v>
      </x:c>
      <x:c r="AC17" s="26" t="str">
        <x:v>No</x:v>
      </x:c>
      <x:c r="AD17" s="26" t="str">
        <x:f>IF(AND(AC17="Sí",L17&gt;=2,M17&lt;0.5,V17&gt;=45),"Emergente en grado",IF(AND(AC17="Sí",L17&lt;=1,Q17&gt;=2),"Emergente desde nivel avanzado",IF(AND(M17&lt;0.25,L17&gt;=1),"Nicho / especialización","")))</x:f>
      </x:c>
      <x:c r="AE17" s="26" t="str"/>
      <x:c r="AF17" s="26" t="str"/>
      <x:c r="AG17" s="26" t="str">
        <x:f>IF(AND(AB17="Universal / núcleo",AE17="Alta"),"Muy alta",IF(AND(OR(AD17="Emergente en grado",AD17="Emergente desde nivel avanzado"),AE17="Alta"),"Muy alta",IF(OR(AB17="Universal / núcleo",AB17="Consolidada",AE17="Alta"),"Alta",IF(OR(AD17&lt;&gt;"",AE17="Media"),"Media","Baja"))))</x:f>
        <x:v>Baja</x:v>
      </x:c>
      <x:c r="AH17" s="26" t="str">
        <x:v>Comparar con la malla EPN Agro antes de decidir mantener/reforzar/integrar/añadir.</x:v>
      </x:c>
    </x:row>
    <x:row r="18">
      <x:c r="A18" s="26" t="str">
        <x:v>A02</x:v>
      </x:c>
      <x:c r="B18" s="26" t="str">
        <x:v>Física y Química Fundamental</x:v>
      </x:c>
      <x:c r="C18" s="26" t="str">
        <x:v>S05</x:v>
      </x:c>
      <x:c r="D18" s="26" t="str">
        <x:v>Química</x:v>
      </x:c>
      <x:c r="E18" s="26" t="str">
        <x:v>F0205</x:v>
      </x:c>
      <x:c r="F18" s="26" t="str">
        <x:v>Química analítica general</x:v>
      </x:c>
      <x:c r="G18" s="26" t="str">
        <x:v>Métodos analíticos generales.</x:v>
      </x:c>
      <x:c r="H18" s="26" t="n">
        <x:f>COUNTIF('04_Presencia_Curriculos'!D18:X18,"&gt;0")</x:f>
        <x:v>2</x:v>
      </x:c>
      <x:c r="I18" s="32" t="n">
        <x:f>H18/'01_Metodologia'!$F$4</x:f>
        <x:v>0.09523809523809523</x:v>
      </x:c>
      <x:c r="J18" s="26" t="n">
        <x:f>COUNTIF('04_Presencia_Curriculos'!D18:Q18,"&gt;0")</x:f>
        <x:v>1</x:v>
      </x:c>
      <x:c r="K18" s="32" t="n">
        <x:f>J18/'01_Metodologia'!$F$5</x:f>
        <x:v>0.07142857142857142</x:v>
      </x:c>
      <x:c r="L18" s="26" t="n">
        <x:f>COUNTIF('04_Presencia_Curriculos'!D18:P18,"&gt;0")</x:f>
        <x:v>1</x:v>
      </x:c>
      <x:c r="M18" s="32" t="n">
        <x:f>L18/'01_Metodologia'!$F$6</x:f>
        <x:v>0.07692307692307693</x:v>
      </x:c>
      <x:c r="N18" s="26" t="n">
        <x:f>COUNTIF('04_Presencia_Curriculos'!D18:P18,2)</x:f>
        <x:v>1</x:v>
      </x:c>
      <x:c r="O18" s="32" t="n">
        <x:f>N18/'01_Metodologia'!$F$6</x:f>
        <x:v>0.07692307692307693</x:v>
      </x:c>
      <x:c r="P18" s="26" t="n">
        <x:f>COUNTIF('04_Presencia_Curriculos'!D18:P18,1)</x:f>
        <x:v>0</x:v>
      </x:c>
      <x:c r="Q18" s="26" t="n">
        <x:f>COUNTIF('04_Presencia_Curriculos'!R18:X18,"&gt;0")</x:f>
        <x:v>1</x:v>
      </x:c>
      <x:c r="R18" s="32" t="n">
        <x:f>Q18/'01_Metodologia'!$F$7</x:f>
        <x:v>0.14285714285714285</x:v>
      </x:c>
      <x:c r="S18" s="36" t="n">
        <x:v>0.75</x:v>
      </x:c>
      <x:c r="T18" s="32" t="n">
        <x:f>AVERAGE('05_Peso_Creditos_Core'!D18:O18)</x:f>
        <x:v>0.004166666666666667</x:v>
      </x:c>
      <x:c r="U18" s="32" t="n">
        <x:f>MEDIAN('05_Peso_Creditos_Core'!D18:O18)</x:f>
        <x:v>0</x:v>
      </x:c>
      <x:c r="V18" s="34" t="n">
        <x:f>IF(COUNT('06_Posicion_Core'!D18:P18)=0,"",MEDIAN('06_Posicion_Core'!D18:P18))</x:f>
        <x:v>58.333333333333336</x:v>
      </x:c>
      <x:c r="W18" s="26" t="str">
        <x:f>IF(V18="","NR",IF(V18&lt;=25,"E1 Fundamentos",IF(V18&lt;=50,"E2 Fundamentos de ingeniería",IF(V18&lt;=75,"E3 Formación profesional","E4 Integración/especialización"))))</x:f>
        <x:v>E3 Formación profesional</x:v>
      </x:c>
      <x:c r="X18" s="26" t="n">
        <x:f>IF(COUNT('07_Profundidad_Core'!D18:P18)=0,"",MEDIAN('07_Profundidad_Core'!D18:P18))</x:f>
        <x:v>1</x:v>
      </x:c>
      <x:c r="Y18" s="26" t="str">
        <x:f>IF(X18="","NR",IF(X18=INT(X18),"N"&amp;TEXT(X18,"0"),"N"&amp;TEXT(INT(X18),"0")&amp;"–N"&amp;TEXT(INT(X18)+1,"0")))</x:f>
        <x:v>N1</x:v>
      </x:c>
      <x:c r="Z18" s="32" t="n">
        <x:v>0</x:v>
      </x:c>
      <x:c r="AA18" s="32" t="n">
        <x:v>0</x:v>
      </x:c>
      <x:c r="AB18" s="26" t="str">
        <x:f>IF(M18&gt;=0.75,"Universal / núcleo",IF(M18&gt;=0.5,"Consolidada",IF(M18&gt;=0.25,"Selectiva","Baja prevalencia")))</x:f>
        <x:v>Baja prevalencia</x:v>
      </x:c>
      <x:c r="AC18" s="26" t="str">
        <x:v>No</x:v>
      </x:c>
      <x:c r="AD18" s="26" t="str">
        <x:f>IF(AND(AC18="Sí",L18&gt;=2,M18&lt;0.5,V18&gt;=45),"Emergente en grado",IF(AND(AC18="Sí",L18&lt;=1,Q18&gt;=2),"Emergente desde nivel avanzado",IF(AND(M18&lt;0.25,L18&gt;=1),"Nicho / especialización","")))</x:f>
        <x:v>Nicho / especialización</x:v>
      </x:c>
      <x:c r="AE18" s="26" t="str"/>
      <x:c r="AF18" s="26" t="str"/>
      <x:c r="AG18" s="26" t="str">
        <x:f>IF(AND(AB18="Universal / núcleo",AE18="Alta"),"Muy alta",IF(AND(OR(AD18="Emergente en grado",AD18="Emergente desde nivel avanzado"),AE18="Alta"),"Muy alta",IF(OR(AB18="Universal / núcleo",AB18="Consolidada",AE18="Alta"),"Alta",IF(OR(AD18&lt;&gt;"",AE18="Media"),"Media","Baja"))))</x:f>
        <x:v>Media</x:v>
      </x:c>
      <x:c r="AH18" s="26" t="str">
        <x:v>Comparar con la malla EPN Agro antes de decidir mantener/reforzar/integrar/añadir.</x:v>
      </x:c>
    </x:row>
    <x:row r="19">
      <x:c r="A19" s="26" t="str">
        <x:v>A03</x:v>
      </x:c>
      <x:c r="B19" s="26" t="str">
        <x:v>Biología, Bioquímica, Microbiología y Biotecnología</x:v>
      </x:c>
      <x:c r="C19" s="26" t="str">
        <x:v>S06</x:v>
      </x:c>
      <x:c r="D19" s="26" t="str">
        <x:v>Biología</x:v>
      </x:c>
      <x:c r="E19" s="26" t="str">
        <x:v>F0301</x:v>
      </x:c>
      <x:c r="F19" s="26" t="str">
        <x:v>Biología y fisiología</x:v>
      </x:c>
      <x:c r="G19" s="26" t="str">
        <x:v>Biología celular/general y fisiología.</x:v>
      </x:c>
      <x:c r="H19" s="26" t="n">
        <x:f>COUNTIF('04_Presencia_Curriculos'!D19:X19,"&gt;0")</x:f>
        <x:v>14</x:v>
      </x:c>
      <x:c r="I19" s="32" t="n">
        <x:f>H19/'01_Metodologia'!$F$4</x:f>
        <x:v>0.6666666666666666</x:v>
      </x:c>
      <x:c r="J19" s="26" t="n">
        <x:f>COUNTIF('04_Presencia_Curriculos'!D19:Q19,"&gt;0")</x:f>
        <x:v>11</x:v>
      </x:c>
      <x:c r="K19" s="32" t="n">
        <x:f>J19/'01_Metodologia'!$F$5</x:f>
        <x:v>0.7857142857142857</x:v>
      </x:c>
      <x:c r="L19" s="26" t="n">
        <x:f>COUNTIF('04_Presencia_Curriculos'!D19:P19,"&gt;0")</x:f>
        <x:v>10</x:v>
      </x:c>
      <x:c r="M19" s="32" t="n">
        <x:f>L19/'01_Metodologia'!$F$6</x:f>
        <x:v>0.7692307692307693</x:v>
      </x:c>
      <x:c r="N19" s="26" t="n">
        <x:f>COUNTIF('04_Presencia_Curriculos'!D19:P19,2)</x:f>
        <x:v>10</x:v>
      </x:c>
      <x:c r="O19" s="32" t="n">
        <x:f>N19/'01_Metodologia'!$F$6</x:f>
        <x:v>0.7692307692307693</x:v>
      </x:c>
      <x:c r="P19" s="26" t="n">
        <x:f>COUNTIF('04_Presencia_Curriculos'!D19:P19,1)</x:f>
        <x:v>0</x:v>
      </x:c>
      <x:c r="Q19" s="26" t="n">
        <x:f>COUNTIF('04_Presencia_Curriculos'!R19:X19,"&gt;0")</x:f>
        <x:v>3</x:v>
      </x:c>
      <x:c r="R19" s="32" t="n">
        <x:f>Q19/'01_Metodologia'!$F$7</x:f>
        <x:v>0.42857142857142855</x:v>
      </x:c>
      <x:c r="S19" s="36" t="n">
        <x:v>5.958333333333333</x:v>
      </x:c>
      <x:c r="T19" s="32" t="n">
        <x:f>AVERAGE('05_Peso_Creditos_Core'!D19:O19)</x:f>
        <x:v>0.029108796296296296</x:v>
      </x:c>
      <x:c r="U19" s="32" t="n">
        <x:f>MEDIAN('05_Peso_Creditos_Core'!D19:O19)</x:f>
        <x:v>0.029166666666666667</x:v>
      </x:c>
      <x:c r="V19" s="34" t="n">
        <x:f>IF(COUNT('06_Posicion_Core'!D19:P19)=0,"",MEDIAN('06_Posicion_Core'!D19:P19))</x:f>
        <x:v>8.333333333333332</x:v>
      </x:c>
      <x:c r="W19" s="26" t="str">
        <x:f>IF(V19="","NR",IF(V19&lt;=25,"E1 Fundamentos",IF(V19&lt;=50,"E2 Fundamentos de ingeniería",IF(V19&lt;=75,"E3 Formación profesional","E4 Integración/especialización"))))</x:f>
        <x:v>E1 Fundamentos</x:v>
      </x:c>
      <x:c r="X19" s="26" t="n">
        <x:f>IF(COUNT('07_Profundidad_Core'!D19:P19)=0,"",MEDIAN('07_Profundidad_Core'!D19:P19))</x:f>
        <x:v>1</x:v>
      </x:c>
      <x:c r="Y19" s="26" t="str">
        <x:f>IF(X19="","NR",IF(X19=INT(X19),"N"&amp;TEXT(X19,"0"),"N"&amp;TEXT(INT(X19),"0")&amp;"–N"&amp;TEXT(INT(X19)+1,"0")))</x:f>
        <x:v>N1</x:v>
      </x:c>
      <x:c r="Z19" s="32" t="n">
        <x:v>0</x:v>
      </x:c>
      <x:c r="AA19" s="32" t="n">
        <x:v>0</x:v>
      </x:c>
      <x:c r="AB19" s="26" t="str">
        <x:f>IF(M19&gt;=0.75,"Universal / núcleo",IF(M19&gt;=0.5,"Consolidada",IF(M19&gt;=0.25,"Selectiva","Baja prevalencia")))</x:f>
        <x:v>Universal / núcleo</x:v>
      </x:c>
      <x:c r="AC19" s="26" t="str">
        <x:v>No</x:v>
      </x:c>
      <x:c r="AD19" s="26" t="str">
        <x:f>IF(AND(AC19="Sí",L19&gt;=2,M19&lt;0.5,V19&gt;=45),"Emergente en grado",IF(AND(AC19="Sí",L19&lt;=1,Q19&gt;=2),"Emergente desde nivel avanzado",IF(AND(M19&lt;0.25,L19&gt;=1),"Nicho / especialización","")))</x:f>
      </x:c>
      <x:c r="AE19" s="26" t="str"/>
      <x:c r="AF19" s="26" t="str"/>
      <x:c r="AG19" s="26" t="str">
        <x:f>IF(AND(AB19="Universal / núcleo",AE19="Alta"),"Muy alta",IF(AND(OR(AD19="Emergente en grado",AD19="Emergente desde nivel avanzado"),AE19="Alta"),"Muy alta",IF(OR(AB19="Universal / núcleo",AB19="Consolidada",AE19="Alta"),"Alta",IF(OR(AD19&lt;&gt;"",AE19="Media"),"Media","Baja"))))</x:f>
        <x:v>Alta</x:v>
      </x:c>
      <x:c r="AH19" s="26" t="str">
        <x:v>Comparar con la malla EPN Agro antes de decidir mantener/reforzar/integrar/añadir.</x:v>
      </x:c>
    </x:row>
    <x:row r="20">
      <x:c r="A20" s="26" t="str">
        <x:v>A03</x:v>
      </x:c>
      <x:c r="B20" s="26" t="str">
        <x:v>Biología, Bioquímica, Microbiología y Biotecnología</x:v>
      </x:c>
      <x:c r="C20" s="26" t="str">
        <x:v>S07</x:v>
      </x:c>
      <x:c r="D20" s="26" t="str">
        <x:v>Bioquímica</x:v>
      </x:c>
      <x:c r="E20" s="26" t="str">
        <x:v>F0302</x:v>
      </x:c>
      <x:c r="F20" s="26" t="str">
        <x:v>Bioquímica y metabolismo</x:v>
      </x:c>
      <x:c r="G20" s="26" t="str">
        <x:v>Bioquímica general y metabolismo.</x:v>
      </x:c>
      <x:c r="H20" s="26" t="n">
        <x:f>COUNTIF('04_Presencia_Curriculos'!D20:X20,"&gt;0")</x:f>
        <x:v>12</x:v>
      </x:c>
      <x:c r="I20" s="32" t="n">
        <x:f>H20/'01_Metodologia'!$F$4</x:f>
        <x:v>0.5714285714285714</x:v>
      </x:c>
      <x:c r="J20" s="26" t="n">
        <x:f>COUNTIF('04_Presencia_Curriculos'!D20:Q20,"&gt;0")</x:f>
        <x:v>9</x:v>
      </x:c>
      <x:c r="K20" s="32" t="n">
        <x:f>J20/'01_Metodologia'!$F$5</x:f>
        <x:v>0.6428571428571429</x:v>
      </x:c>
      <x:c r="L20" s="26" t="n">
        <x:f>COUNTIF('04_Presencia_Curriculos'!D20:P20,"&gt;0")</x:f>
        <x:v>9</x:v>
      </x:c>
      <x:c r="M20" s="32" t="n">
        <x:f>L20/'01_Metodologia'!$F$6</x:f>
        <x:v>0.6923076923076923</x:v>
      </x:c>
      <x:c r="N20" s="26" t="n">
        <x:f>COUNTIF('04_Presencia_Curriculos'!D20:P20,2)</x:f>
        <x:v>9</x:v>
      </x:c>
      <x:c r="O20" s="32" t="n">
        <x:f>N20/'01_Metodologia'!$F$6</x:f>
        <x:v>0.6923076923076923</x:v>
      </x:c>
      <x:c r="P20" s="26" t="n">
        <x:f>COUNTIF('04_Presencia_Curriculos'!D20:P20,1)</x:f>
        <x:v>0</x:v>
      </x:c>
      <x:c r="Q20" s="26" t="n">
        <x:f>COUNTIF('04_Presencia_Curriculos'!R20:X20,"&gt;0")</x:f>
        <x:v>3</x:v>
      </x:c>
      <x:c r="R20" s="32" t="n">
        <x:f>Q20/'01_Metodologia'!$F$7</x:f>
        <x:v>0.42857142857142855</x:v>
      </x:c>
      <x:c r="S20" s="36" t="n">
        <x:v>4.833333333333333</x:v>
      </x:c>
      <x:c r="T20" s="32" t="n">
        <x:f>AVERAGE('05_Peso_Creditos_Core'!D20:O20)</x:f>
        <x:v>0.02476851851851852</x:v>
      </x:c>
      <x:c r="U20" s="32" t="n">
        <x:f>MEDIAN('05_Peso_Creditos_Core'!D20:O20)</x:f>
        <x:v>0.02638888888888889</x:v>
      </x:c>
      <x:c r="V20" s="34" t="n">
        <x:f>IF(COUNT('06_Posicion_Core'!D20:P20)=0,"",MEDIAN('06_Posicion_Core'!D20:P20))</x:f>
        <x:v>25</x:v>
      </x:c>
      <x:c r="W20" s="26" t="str">
        <x:f>IF(V20="","NR",IF(V20&lt;=25,"E1 Fundamentos",IF(V20&lt;=50,"E2 Fundamentos de ingeniería",IF(V20&lt;=75,"E3 Formación profesional","E4 Integración/especialización"))))</x:f>
        <x:v>E1 Fundamentos</x:v>
      </x:c>
      <x:c r="X20" s="26" t="n">
        <x:f>IF(COUNT('07_Profundidad_Core'!D20:P20)=0,"",MEDIAN('07_Profundidad_Core'!D20:P20))</x:f>
        <x:v>1</x:v>
      </x:c>
      <x:c r="Y20" s="26" t="str">
        <x:f>IF(X20="","NR",IF(X20=INT(X20),"N"&amp;TEXT(X20,"0"),"N"&amp;TEXT(INT(X20),"0")&amp;"–N"&amp;TEXT(INT(X20)+1,"0")))</x:f>
        <x:v>N1</x:v>
      </x:c>
      <x:c r="Z20" s="32" t="n">
        <x:v>0</x:v>
      </x:c>
      <x:c r="AA20" s="32" t="n">
        <x:v>0</x:v>
      </x:c>
      <x:c r="AB20" s="26" t="str">
        <x:f>IF(M20&gt;=0.75,"Universal / núcleo",IF(M20&gt;=0.5,"Consolidada",IF(M20&gt;=0.25,"Selectiva","Baja prevalencia")))</x:f>
        <x:v>Consolidada</x:v>
      </x:c>
      <x:c r="AC20" s="26" t="str">
        <x:v>No</x:v>
      </x:c>
      <x:c r="AD20" s="26" t="str">
        <x:f>IF(AND(AC20="Sí",L20&gt;=2,M20&lt;0.5,V20&gt;=45),"Emergente en grado",IF(AND(AC20="Sí",L20&lt;=1,Q20&gt;=2),"Emergente desde nivel avanzado",IF(AND(M20&lt;0.25,L20&gt;=1),"Nicho / especialización","")))</x:f>
      </x:c>
      <x:c r="AE20" s="26" t="str"/>
      <x:c r="AF20" s="26" t="str"/>
      <x:c r="AG20" s="26" t="str">
        <x:f>IF(AND(AB20="Universal / núcleo",AE20="Alta"),"Muy alta",IF(AND(OR(AD20="Emergente en grado",AD20="Emergente desde nivel avanzado"),AE20="Alta"),"Muy alta",IF(OR(AB20="Universal / núcleo",AB20="Consolidada",AE20="Alta"),"Alta",IF(OR(AD20&lt;&gt;"",AE20="Media"),"Media","Baja"))))</x:f>
        <x:v>Alta</x:v>
      </x:c>
      <x:c r="AH20" s="26" t="str">
        <x:v>Comparar con la malla EPN Agro antes de decidir mantener/reforzar/integrar/añadir.</x:v>
      </x:c>
    </x:row>
    <x:row r="21">
      <x:c r="A21" s="26" t="str">
        <x:v>A03</x:v>
      </x:c>
      <x:c r="B21" s="26" t="str">
        <x:v>Biología, Bioquímica, Microbiología y Biotecnología</x:v>
      </x:c>
      <x:c r="C21" s="26" t="str">
        <x:v>S08</x:v>
      </x:c>
      <x:c r="D21" s="26" t="str">
        <x:v>Microbiología</x:v>
      </x:c>
      <x:c r="E21" s="26" t="str">
        <x:v>F0303</x:v>
      </x:c>
      <x:c r="F21" s="26" t="str">
        <x:v>Microbiología general</x:v>
      </x:c>
      <x:c r="G21" s="26" t="str">
        <x:v>Microbiología general.</x:v>
      </x:c>
      <x:c r="H21" s="26" t="n">
        <x:f>COUNTIF('04_Presencia_Curriculos'!D21:X21,"&gt;0")</x:f>
        <x:v>12</x:v>
      </x:c>
      <x:c r="I21" s="32" t="n">
        <x:f>H21/'01_Metodologia'!$F$4</x:f>
        <x:v>0.5714285714285714</x:v>
      </x:c>
      <x:c r="J21" s="26" t="n">
        <x:f>COUNTIF('04_Presencia_Curriculos'!D21:Q21,"&gt;0")</x:f>
        <x:v>10</x:v>
      </x:c>
      <x:c r="K21" s="32" t="n">
        <x:f>J21/'01_Metodologia'!$F$5</x:f>
        <x:v>0.7142857142857143</x:v>
      </x:c>
      <x:c r="L21" s="26" t="n">
        <x:f>COUNTIF('04_Presencia_Curriculos'!D21:P21,"&gt;0")</x:f>
        <x:v>10</x:v>
      </x:c>
      <x:c r="M21" s="32" t="n">
        <x:f>L21/'01_Metodologia'!$F$6</x:f>
        <x:v>0.7692307692307693</x:v>
      </x:c>
      <x:c r="N21" s="26" t="n">
        <x:f>COUNTIF('04_Presencia_Curriculos'!D21:P21,2)</x:f>
        <x:v>10</x:v>
      </x:c>
      <x:c r="O21" s="32" t="n">
        <x:f>N21/'01_Metodologia'!$F$6</x:f>
        <x:v>0.7692307692307693</x:v>
      </x:c>
      <x:c r="P21" s="26" t="n">
        <x:f>COUNTIF('04_Presencia_Curriculos'!D21:P21,1)</x:f>
        <x:v>0</x:v>
      </x:c>
      <x:c r="Q21" s="26" t="n">
        <x:f>COUNTIF('04_Presencia_Curriculos'!R21:X21,"&gt;0")</x:f>
        <x:v>2</x:v>
      </x:c>
      <x:c r="R21" s="32" t="n">
        <x:f>Q21/'01_Metodologia'!$F$7</x:f>
        <x:v>0.2857142857142857</x:v>
      </x:c>
      <x:c r="S21" s="36" t="n">
        <x:v>7.333333333333333</x:v>
      </x:c>
      <x:c r="T21" s="32" t="n">
        <x:f>AVERAGE('05_Peso_Creditos_Core'!D21:O21)</x:f>
        <x:v>0.037962962962962955</x:v>
      </x:c>
      <x:c r="U21" s="32" t="n">
        <x:f>MEDIAN('05_Peso_Creditos_Core'!D21:O21)</x:f>
        <x:v>0.03333333333333333</x:v>
      </x:c>
      <x:c r="V21" s="34" t="n">
        <x:f>IF(COUNT('06_Posicion_Core'!D21:P21)=0,"",MEDIAN('06_Posicion_Core'!D21:P21))</x:f>
        <x:v>41.66666666666667</x:v>
      </x:c>
      <x:c r="W21" s="26" t="str">
        <x:f>IF(V21="","NR",IF(V21&lt;=25,"E1 Fundamentos",IF(V21&lt;=50,"E2 Fundamentos de ingeniería",IF(V21&lt;=75,"E3 Formación profesional","E4 Integración/especialización"))))</x:f>
        <x:v>E2 Fundamentos de ingeniería</x:v>
      </x:c>
      <x:c r="X21" s="26" t="n">
        <x:f>IF(COUNT('07_Profundidad_Core'!D21:P21)=0,"",MEDIAN('07_Profundidad_Core'!D21:P21))</x:f>
        <x:v>1</x:v>
      </x:c>
      <x:c r="Y21" s="26" t="str">
        <x:f>IF(X21="","NR",IF(X21=INT(X21),"N"&amp;TEXT(X21,"0"),"N"&amp;TEXT(INT(X21),"0")&amp;"–N"&amp;TEXT(INT(X21)+1,"0")))</x:f>
        <x:v>N1</x:v>
      </x:c>
      <x:c r="Z21" s="32" t="n">
        <x:v>0.2</x:v>
      </x:c>
      <x:c r="AA21" s="32" t="n">
        <x:v>0</x:v>
      </x:c>
      <x:c r="AB21" s="26" t="str">
        <x:f>IF(M21&gt;=0.75,"Universal / núcleo",IF(M21&gt;=0.5,"Consolidada",IF(M21&gt;=0.25,"Selectiva","Baja prevalencia")))</x:f>
        <x:v>Universal / núcleo</x:v>
      </x:c>
      <x:c r="AC21" s="26" t="str">
        <x:v>No</x:v>
      </x:c>
      <x:c r="AD21" s="26" t="str">
        <x:f>IF(AND(AC21="Sí",L21&gt;=2,M21&lt;0.5,V21&gt;=45),"Emergente en grado",IF(AND(AC21="Sí",L21&lt;=1,Q21&gt;=2),"Emergente desde nivel avanzado",IF(AND(M21&lt;0.25,L21&gt;=1),"Nicho / especialización","")))</x:f>
      </x:c>
      <x:c r="AE21" s="26" t="str"/>
      <x:c r="AF21" s="26" t="str"/>
      <x:c r="AG21" s="26" t="str">
        <x:f>IF(AND(AB21="Universal / núcleo",AE21="Alta"),"Muy alta",IF(AND(OR(AD21="Emergente en grado",AD21="Emergente desde nivel avanzado"),AE21="Alta"),"Muy alta",IF(OR(AB21="Universal / núcleo",AB21="Consolidada",AE21="Alta"),"Alta",IF(OR(AD21&lt;&gt;"",AE21="Media"),"Media","Baja"))))</x:f>
        <x:v>Alta</x:v>
      </x:c>
      <x:c r="AH21" s="26" t="str">
        <x:v>Comparar con la malla EPN Agro antes de decidir mantener/reforzar/integrar/añadir.</x:v>
      </x:c>
    </x:row>
    <x:row r="22">
      <x:c r="A22" s="26" t="str">
        <x:v>A03</x:v>
      </x:c>
      <x:c r="B22" s="26" t="str">
        <x:v>Biología, Bioquímica, Microbiología y Biotecnología</x:v>
      </x:c>
      <x:c r="C22" s="26" t="str">
        <x:v>S08</x:v>
      </x:c>
      <x:c r="D22" s="26" t="str">
        <x:v>Microbiología</x:v>
      </x:c>
      <x:c r="E22" s="26" t="str">
        <x:v>F0304</x:v>
      </x:c>
      <x:c r="F22" s="26" t="str">
        <x:v>Microbiología alimentaria e industrial</x:v>
      </x:c>
      <x:c r="G22" s="26" t="str">
        <x:v>Microbiología de alimentos/procesos.</x:v>
      </x:c>
      <x:c r="H22" s="26" t="n">
        <x:f>COUNTIF('04_Presencia_Curriculos'!D22:X22,"&gt;0")</x:f>
        <x:v>5</x:v>
      </x:c>
      <x:c r="I22" s="32" t="n">
        <x:f>H22/'01_Metodologia'!$F$4</x:f>
        <x:v>0.23809523809523808</x:v>
      </x:c>
      <x:c r="J22" s="26" t="n">
        <x:f>COUNTIF('04_Presencia_Curriculos'!D22:Q22,"&gt;0")</x:f>
        <x:v>3</x:v>
      </x:c>
      <x:c r="K22" s="32" t="n">
        <x:f>J22/'01_Metodologia'!$F$5</x:f>
        <x:v>0.21428571428571427</x:v>
      </x:c>
      <x:c r="L22" s="26" t="n">
        <x:f>COUNTIF('04_Presencia_Curriculos'!D22:P22,"&gt;0")</x:f>
        <x:v>3</x:v>
      </x:c>
      <x:c r="M22" s="32" t="n">
        <x:f>L22/'01_Metodologia'!$F$6</x:f>
        <x:v>0.23076923076923078</x:v>
      </x:c>
      <x:c r="N22" s="26" t="n">
        <x:f>COUNTIF('04_Presencia_Curriculos'!D22:P22,2)</x:f>
        <x:v>2</x:v>
      </x:c>
      <x:c r="O22" s="32" t="n">
        <x:f>N22/'01_Metodologia'!$F$6</x:f>
        <x:v>0.15384615384615385</x:v>
      </x:c>
      <x:c r="P22" s="26" t="n">
        <x:f>COUNTIF('04_Presencia_Curriculos'!D22:P22,1)</x:f>
        <x:v>1</x:v>
      </x:c>
      <x:c r="Q22" s="26" t="n">
        <x:f>COUNTIF('04_Presencia_Curriculos'!R22:X22,"&gt;0")</x:f>
        <x:v>2</x:v>
      </x:c>
      <x:c r="R22" s="32" t="n">
        <x:f>Q22/'01_Metodologia'!$F$7</x:f>
        <x:v>0.2857142857142857</x:v>
      </x:c>
      <x:c r="S22" s="36" t="n">
        <x:v>0.9166666666666666</x:v>
      </x:c>
      <x:c r="T22" s="32" t="n">
        <x:f>AVERAGE('05_Peso_Creditos_Core'!D22:O22)</x:f>
        <x:v>0.004398148148148148</x:v>
      </x:c>
      <x:c r="U22" s="32" t="n">
        <x:f>MEDIAN('05_Peso_Creditos_Core'!D22:O22)</x:f>
        <x:v>0</x:v>
      </x:c>
      <x:c r="V22" s="34" t="n">
        <x:f>IF(COUNT('06_Posicion_Core'!D22:P22)=0,"",MEDIAN('06_Posicion_Core'!D22:P22))</x:f>
        <x:v>58.333333333333336</x:v>
      </x:c>
      <x:c r="W22" s="26" t="str">
        <x:f>IF(V22="","NR",IF(V22&lt;=25,"E1 Fundamentos",IF(V22&lt;=50,"E2 Fundamentos de ingeniería",IF(V22&lt;=75,"E3 Formación profesional","E4 Integración/especialización"))))</x:f>
        <x:v>E3 Formación profesional</x:v>
      </x:c>
      <x:c r="X22" s="26" t="n">
        <x:f>IF(COUNT('07_Profundidad_Core'!D22:P22)=0,"",MEDIAN('07_Profundidad_Core'!D22:P22))</x:f>
        <x:v>1</x:v>
      </x:c>
      <x:c r="Y22" s="26" t="str">
        <x:f>IF(X22="","NR",IF(X22=INT(X22),"N"&amp;TEXT(X22,"0"),"N"&amp;TEXT(INT(X22),"0")&amp;"–N"&amp;TEXT(INT(X22)+1,"0")))</x:f>
        <x:v>N1</x:v>
      </x:c>
      <x:c r="Z22" s="32" t="n">
        <x:v>0</x:v>
      </x:c>
      <x:c r="AA22" s="32" t="n">
        <x:v>0</x:v>
      </x:c>
      <x:c r="AB22" s="26" t="str">
        <x:f>IF(M22&gt;=0.75,"Universal / núcleo",IF(M22&gt;=0.5,"Consolidada",IF(M22&gt;=0.25,"Selectiva","Baja prevalencia")))</x:f>
        <x:v>Baja prevalencia</x:v>
      </x:c>
      <x:c r="AC22" s="26" t="str">
        <x:v>No</x:v>
      </x:c>
      <x:c r="AD22" s="26" t="str">
        <x:f>IF(AND(AC22="Sí",L22&gt;=2,M22&lt;0.5,V22&gt;=45),"Emergente en grado",IF(AND(AC22="Sí",L22&lt;=1,Q22&gt;=2),"Emergente desde nivel avanzado",IF(AND(M22&lt;0.25,L22&gt;=1),"Nicho / especialización","")))</x:f>
        <x:v>Nicho / especialización</x:v>
      </x:c>
      <x:c r="AE22" s="26" t="str"/>
      <x:c r="AF22" s="26" t="str"/>
      <x:c r="AG22" s="26" t="str">
        <x:f>IF(AND(AB22="Universal / núcleo",AE22="Alta"),"Muy alta",IF(AND(OR(AD22="Emergente en grado",AD22="Emergente desde nivel avanzado"),AE22="Alta"),"Muy alta",IF(OR(AB22="Universal / núcleo",AB22="Consolidada",AE22="Alta"),"Alta",IF(OR(AD22&lt;&gt;"",AE22="Media"),"Media","Baja"))))</x:f>
        <x:v>Media</x:v>
      </x:c>
      <x:c r="AH22" s="26" t="str">
        <x:v>Comparar con la malla EPN Agro antes de decidir mantener/reforzar/integrar/añadir.</x:v>
      </x:c>
    </x:row>
    <x:row r="23">
      <x:c r="A23" s="26" t="str">
        <x:v>A03</x:v>
      </x:c>
      <x:c r="B23" s="26" t="str">
        <x:v>Biología, Bioquímica, Microbiología y Biotecnología</x:v>
      </x:c>
      <x:c r="C23" s="26" t="str">
        <x:v>S09</x:v>
      </x:c>
      <x:c r="D23" s="26" t="str">
        <x:v>Biotecnología</x:v>
      </x:c>
      <x:c r="E23" s="26" t="str">
        <x:v>F0305</x:v>
      </x:c>
      <x:c r="F23" s="26" t="str">
        <x:v>Biotecnología y biología molecular</x:v>
      </x:c>
      <x:c r="G23" s="26" t="str">
        <x:v>Biotecnología, enzimas y biología molecular.</x:v>
      </x:c>
      <x:c r="H23" s="26" t="n">
        <x:f>COUNTIF('04_Presencia_Curriculos'!D23:X23,"&gt;0")</x:f>
        <x:v>6</x:v>
      </x:c>
      <x:c r="I23" s="32" t="n">
        <x:f>H23/'01_Metodologia'!$F$4</x:f>
        <x:v>0.2857142857142857</x:v>
      </x:c>
      <x:c r="J23" s="26" t="n">
        <x:f>COUNTIF('04_Presencia_Curriculos'!D23:Q23,"&gt;0")</x:f>
        <x:v>3</x:v>
      </x:c>
      <x:c r="K23" s="32" t="n">
        <x:f>J23/'01_Metodologia'!$F$5</x:f>
        <x:v>0.21428571428571427</x:v>
      </x:c>
      <x:c r="L23" s="26" t="n">
        <x:f>COUNTIF('04_Presencia_Curriculos'!D23:P23,"&gt;0")</x:f>
        <x:v>3</x:v>
      </x:c>
      <x:c r="M23" s="32" t="n">
        <x:f>L23/'01_Metodologia'!$F$6</x:f>
        <x:v>0.23076923076923078</x:v>
      </x:c>
      <x:c r="N23" s="26" t="n">
        <x:f>COUNTIF('04_Presencia_Curriculos'!D23:P23,2)</x:f>
        <x:v>3</x:v>
      </x:c>
      <x:c r="O23" s="32" t="n">
        <x:f>N23/'01_Metodologia'!$F$6</x:f>
        <x:v>0.23076923076923078</x:v>
      </x:c>
      <x:c r="P23" s="26" t="n">
        <x:f>COUNTIF('04_Presencia_Curriculos'!D23:P23,1)</x:f>
        <x:v>0</x:v>
      </x:c>
      <x:c r="Q23" s="26" t="n">
        <x:f>COUNTIF('04_Presencia_Curriculos'!R23:X23,"&gt;0")</x:f>
        <x:v>3</x:v>
      </x:c>
      <x:c r="R23" s="32" t="n">
        <x:f>Q23/'01_Metodologia'!$F$7</x:f>
        <x:v>0.42857142857142855</x:v>
      </x:c>
      <x:c r="S23" s="36" t="n">
        <x:v>2.3333333333333335</x:v>
      </x:c>
      <x:c r="T23" s="32" t="n">
        <x:f>AVERAGE('05_Peso_Creditos_Core'!D23:O23)</x:f>
        <x:v>0.012962962962962963</x:v>
      </x:c>
      <x:c r="U23" s="32" t="n">
        <x:f>MEDIAN('05_Peso_Creditos_Core'!D23:O23)</x:f>
        <x:v>0</x:v>
      </x:c>
      <x:c r="V23" s="34" t="n">
        <x:f>IF(COUNT('06_Posicion_Core'!D23:P23)=0,"",MEDIAN('06_Posicion_Core'!D23:P23))</x:f>
        <x:v>58.333333333333336</x:v>
      </x:c>
      <x:c r="W23" s="26" t="str">
        <x:f>IF(V23="","NR",IF(V23&lt;=25,"E1 Fundamentos",IF(V23&lt;=50,"E2 Fundamentos de ingeniería",IF(V23&lt;=75,"E3 Formación profesional","E4 Integración/especialización"))))</x:f>
        <x:v>E3 Formación profesional</x:v>
      </x:c>
      <x:c r="X23" s="26" t="n">
        <x:f>IF(COUNT('07_Profundidad_Core'!D23:P23)=0,"",MEDIAN('07_Profundidad_Core'!D23:P23))</x:f>
        <x:v>1</x:v>
      </x:c>
      <x:c r="Y23" s="26" t="str">
        <x:f>IF(X23="","NR",IF(X23=INT(X23),"N"&amp;TEXT(X23,"0"),"N"&amp;TEXT(INT(X23),"0")&amp;"–N"&amp;TEXT(INT(X23)+1,"0")))</x:f>
        <x:v>N1</x:v>
      </x:c>
      <x:c r="Z23" s="32" t="n">
        <x:v>0.6666666666666666</x:v>
      </x:c>
      <x:c r="AA23" s="32" t="n">
        <x:v>0</x:v>
      </x:c>
      <x:c r="AB23" s="26" t="str">
        <x:f>IF(M23&gt;=0.75,"Universal / núcleo",IF(M23&gt;=0.5,"Consolidada",IF(M23&gt;=0.25,"Selectiva","Baja prevalencia")))</x:f>
        <x:v>Baja prevalencia</x:v>
      </x:c>
      <x:c r="AC23" s="26" t="str">
        <x:v>No</x:v>
      </x:c>
      <x:c r="AD23" s="26" t="str">
        <x:f>IF(AND(AC23="Sí",L23&gt;=2,M23&lt;0.5,V23&gt;=45),"Emergente en grado",IF(AND(AC23="Sí",L23&lt;=1,Q23&gt;=2),"Emergente desde nivel avanzado",IF(AND(M23&lt;0.25,L23&gt;=1),"Nicho / especialización","")))</x:f>
        <x:v>Nicho / especialización</x:v>
      </x:c>
      <x:c r="AE23" s="26" t="str"/>
      <x:c r="AF23" s="26" t="str"/>
      <x:c r="AG23" s="26" t="str">
        <x:f>IF(AND(AB23="Universal / núcleo",AE23="Alta"),"Muy alta",IF(AND(OR(AD23="Emergente en grado",AD23="Emergente desde nivel avanzado"),AE23="Alta"),"Muy alta",IF(OR(AB23="Universal / núcleo",AB23="Consolidada",AE23="Alta"),"Alta",IF(OR(AD23&lt;&gt;"",AE23="Media"),"Media","Baja"))))</x:f>
        <x:v>Media</x:v>
      </x:c>
      <x:c r="AH23" s="26" t="str">
        <x:v>Comparar con la malla EPN Agro antes de decidir mantener/reforzar/integrar/añadir.</x:v>
      </x:c>
    </x:row>
    <x:row r="24">
      <x:c r="A24" s="26" t="str">
        <x:v>A03</x:v>
      </x:c>
      <x:c r="B24" s="26" t="str">
        <x:v>Biología, Bioquímica, Microbiología y Biotecnología</x:v>
      </x:c>
      <x:c r="C24" s="26" t="str">
        <x:v>S09</x:v>
      </x:c>
      <x:c r="D24" s="26" t="str">
        <x:v>Biotecnología</x:v>
      </x:c>
      <x:c r="E24" s="26" t="str">
        <x:v>F0306</x:v>
      </x:c>
      <x:c r="F24" s="26" t="str">
        <x:v>Bioprocesos y bioproducción</x:v>
      </x:c>
      <x:c r="G24" s="26" t="str">
        <x:v>Sistemas biológicos aplicados a producción.</x:v>
      </x:c>
      <x:c r="H24" s="26" t="n">
        <x:f>COUNTIF('04_Presencia_Curriculos'!D24:X24,"&gt;0")</x:f>
        <x:v>2</x:v>
      </x:c>
      <x:c r="I24" s="32" t="n">
        <x:f>H24/'01_Metodologia'!$F$4</x:f>
        <x:v>0.09523809523809523</x:v>
      </x:c>
      <x:c r="J24" s="26" t="n">
        <x:f>COUNTIF('04_Presencia_Curriculos'!D24:Q24,"&gt;0")</x:f>
        <x:v>0</x:v>
      </x:c>
      <x:c r="K24" s="32" t="n">
        <x:f>J24/'01_Metodologia'!$F$5</x:f>
        <x:v>0</x:v>
      </x:c>
      <x:c r="L24" s="26" t="n">
        <x:f>COUNTIF('04_Presencia_Curriculos'!D24:P24,"&gt;0")</x:f>
        <x:v>0</x:v>
      </x:c>
      <x:c r="M24" s="32" t="n">
        <x:f>L24/'01_Metodologia'!$F$6</x:f>
        <x:v>0</x:v>
      </x:c>
      <x:c r="N24" s="26" t="n">
        <x:f>COUNTIF('04_Presencia_Curriculos'!D24:P24,2)</x:f>
        <x:v>0</x:v>
      </x:c>
      <x:c r="O24" s="32" t="n">
        <x:f>N24/'01_Metodologia'!$F$6</x:f>
        <x:v>0</x:v>
      </x:c>
      <x:c r="P24" s="26" t="n">
        <x:f>COUNTIF('04_Presencia_Curriculos'!D24:P24,1)</x:f>
        <x:v>0</x:v>
      </x:c>
      <x:c r="Q24" s="26" t="n">
        <x:f>COUNTIF('04_Presencia_Curriculos'!R24:X24,"&gt;0")</x:f>
        <x:v>2</x:v>
      </x:c>
      <x:c r="R24" s="32" t="n">
        <x:f>Q24/'01_Metodologia'!$F$7</x:f>
        <x:v>0.2857142857142857</x:v>
      </x:c>
      <x:c r="S24" s="36" t="n">
        <x:v>0</x:v>
      </x:c>
      <x:c r="T24" s="32" t="n">
        <x:f>AVERAGE('05_Peso_Creditos_Core'!D24:O24)</x:f>
        <x:v>0</x:v>
      </x:c>
      <x:c r="U24" s="32" t="n">
        <x:f>MEDIAN('05_Peso_Creditos_Core'!D24:O24)</x:f>
        <x:v>0</x:v>
      </x:c>
      <x:c r="V24" s="34" t="str">
        <x:f>IF(COUNT('06_Posicion_Core'!D24:P24)=0,"",MEDIAN('06_Posicion_Core'!D24:P24))</x:f>
      </x:c>
      <x:c r="W24" s="26" t="str">
        <x:f>IF(V24="","NR",IF(V24&lt;=25,"E1 Fundamentos",IF(V24&lt;=50,"E2 Fundamentos de ingeniería",IF(V24&lt;=75,"E3 Formación profesional","E4 Integración/especialización"))))</x:f>
        <x:v>NR</x:v>
      </x:c>
      <x:c r="X24" s="26" t="str">
        <x:f>IF(COUNT('07_Profundidad_Core'!D24:P24)=0,"",MEDIAN('07_Profundidad_Core'!D24:P24))</x:f>
      </x:c>
      <x:c r="Y24" s="26" t="str">
        <x:f>IF(X24="","NR",IF(X24=INT(X24),"N"&amp;TEXT(X24,"0"),"N"&amp;TEXT(INT(X24),"0")&amp;"–N"&amp;TEXT(INT(X24)+1,"0")))</x:f>
        <x:v>NR</x:v>
      </x:c>
      <x:c r="Z24" s="32"/>
      <x:c r="AA24" s="32"/>
      <x:c r="AB24" s="26" t="str">
        <x:f>IF(M24&gt;=0.75,"Universal / núcleo",IF(M24&gt;=0.5,"Consolidada",IF(M24&gt;=0.25,"Selectiva","Baja prevalencia")))</x:f>
        <x:v>Baja prevalencia</x:v>
      </x:c>
      <x:c r="AC24" s="26" t="str">
        <x:v>No</x:v>
      </x:c>
      <x:c r="AD24" s="26" t="str">
        <x:f>IF(AND(AC24="Sí",L24&gt;=2,M24&lt;0.5,V24&gt;=45),"Emergente en grado",IF(AND(AC24="Sí",L24&lt;=1,Q24&gt;=2),"Emergente desde nivel avanzado",IF(AND(M24&lt;0.25,L24&gt;=1),"Nicho / especialización","")))</x:f>
      </x:c>
      <x:c r="AE24" s="26" t="str"/>
      <x:c r="AF24" s="26" t="str"/>
      <x:c r="AG24" s="26" t="str">
        <x:f>IF(AND(AB24="Universal / núcleo",AE24="Alta"),"Muy alta",IF(AND(OR(AD24="Emergente en grado",AD24="Emergente desde nivel avanzado"),AE24="Alta"),"Muy alta",IF(OR(AB24="Universal / núcleo",AB24="Consolidada",AE24="Alta"),"Alta",IF(OR(AD24&lt;&gt;"",AE24="Media"),"Media","Baja"))))</x:f>
        <x:v>Baja</x:v>
      </x:c>
      <x:c r="AH24" s="26" t="str">
        <x:v>Comparar con la malla EPN Agro antes de decidir mantener/reforzar/integrar/añadir.</x:v>
      </x:c>
    </x:row>
    <x:row r="25">
      <x:c r="A25" s="26" t="str">
        <x:v>A04</x:v>
      </x:c>
      <x:c r="B25" s="26" t="str">
        <x:v>Ciencias de Ingeniería</x:v>
      </x:c>
      <x:c r="C25" s="26" t="str">
        <x:v>S10</x:v>
      </x:c>
      <x:c r="D25" s="26" t="str">
        <x:v>Termodinámica y transporte</x:v>
      </x:c>
      <x:c r="E25" s="26" t="str">
        <x:v>F0401</x:v>
      </x:c>
      <x:c r="F25" s="26" t="str">
        <x:v>Termodinámica</x:v>
      </x:c>
      <x:c r="G25" s="26" t="str">
        <x:v>Leyes, propiedades, equilibrio y aplicación.</x:v>
      </x:c>
      <x:c r="H25" s="26" t="n">
        <x:f>COUNTIF('04_Presencia_Curriculos'!D25:X25,"&gt;0")</x:f>
        <x:v>4</x:v>
      </x:c>
      <x:c r="I25" s="32" t="n">
        <x:f>H25/'01_Metodologia'!$F$4</x:f>
        <x:v>0.19047619047619047</x:v>
      </x:c>
      <x:c r="J25" s="26" t="n">
        <x:f>COUNTIF('04_Presencia_Curriculos'!D25:Q25,"&gt;0")</x:f>
        <x:v>3</x:v>
      </x:c>
      <x:c r="K25" s="32" t="n">
        <x:f>J25/'01_Metodologia'!$F$5</x:f>
        <x:v>0.21428571428571427</x:v>
      </x:c>
      <x:c r="L25" s="26" t="n">
        <x:f>COUNTIF('04_Presencia_Curriculos'!D25:P25,"&gt;0")</x:f>
        <x:v>3</x:v>
      </x:c>
      <x:c r="M25" s="32" t="n">
        <x:f>L25/'01_Metodologia'!$F$6</x:f>
        <x:v>0.23076923076923078</x:v>
      </x:c>
      <x:c r="N25" s="26" t="n">
        <x:f>COUNTIF('04_Presencia_Curriculos'!D25:P25,2)</x:f>
        <x:v>3</x:v>
      </x:c>
      <x:c r="O25" s="32" t="n">
        <x:f>N25/'01_Metodologia'!$F$6</x:f>
        <x:v>0.23076923076923078</x:v>
      </x:c>
      <x:c r="P25" s="26" t="n">
        <x:f>COUNTIF('04_Presencia_Curriculos'!D25:P25,1)</x:f>
        <x:v>0</x:v>
      </x:c>
      <x:c r="Q25" s="26" t="n">
        <x:f>COUNTIF('04_Presencia_Curriculos'!R25:X25,"&gt;0")</x:f>
        <x:v>1</x:v>
      </x:c>
      <x:c r="R25" s="32" t="n">
        <x:f>Q25/'01_Metodologia'!$F$7</x:f>
        <x:v>0.14285714285714285</x:v>
      </x:c>
      <x:c r="S25" s="36" t="n">
        <x:v>1.4166666666666667</x:v>
      </x:c>
      <x:c r="T25" s="32" t="n">
        <x:f>AVERAGE('05_Peso_Creditos_Core'!D25:O25)</x:f>
        <x:v>0.00787037037037037</x:v>
      </x:c>
      <x:c r="U25" s="32" t="n">
        <x:f>MEDIAN('05_Peso_Creditos_Core'!D25:O25)</x:f>
        <x:v>0</x:v>
      </x:c>
      <x:c r="V25" s="34" t="n">
        <x:f>IF(COUNT('06_Posicion_Core'!D25:P25)=0,"",MEDIAN('06_Posicion_Core'!D25:P25))</x:f>
        <x:v>58.333333333333336</x:v>
      </x:c>
      <x:c r="W25" s="26" t="str">
        <x:f>IF(V25="","NR",IF(V25&lt;=25,"E1 Fundamentos",IF(V25&lt;=50,"E2 Fundamentos de ingeniería",IF(V25&lt;=75,"E3 Formación profesional","E4 Integración/especialización"))))</x:f>
        <x:v>E3 Formación profesional</x:v>
      </x:c>
      <x:c r="X25" s="26" t="n">
        <x:f>IF(COUNT('07_Profundidad_Core'!D25:P25)=0,"",MEDIAN('07_Profundidad_Core'!D25:P25))</x:f>
        <x:v>1</x:v>
      </x:c>
      <x:c r="Y25" s="26" t="str">
        <x:f>IF(X25="","NR",IF(X25=INT(X25),"N"&amp;TEXT(X25,"0"),"N"&amp;TEXT(INT(X25),"0")&amp;"–N"&amp;TEXT(INT(X25)+1,"0")))</x:f>
        <x:v>N1</x:v>
      </x:c>
      <x:c r="Z25" s="32" t="n">
        <x:v>0</x:v>
      </x:c>
      <x:c r="AA25" s="32" t="n">
        <x:v>0</x:v>
      </x:c>
      <x:c r="AB25" s="26" t="str">
        <x:f>IF(M25&gt;=0.75,"Universal / núcleo",IF(M25&gt;=0.5,"Consolidada",IF(M25&gt;=0.25,"Selectiva","Baja prevalencia")))</x:f>
        <x:v>Baja prevalencia</x:v>
      </x:c>
      <x:c r="AC25" s="26" t="str">
        <x:v>No</x:v>
      </x:c>
      <x:c r="AD25" s="26" t="str">
        <x:f>IF(AND(AC25="Sí",L25&gt;=2,M25&lt;0.5,V25&gt;=45),"Emergente en grado",IF(AND(AC25="Sí",L25&lt;=1,Q25&gt;=2),"Emergente desde nivel avanzado",IF(AND(M25&lt;0.25,L25&gt;=1),"Nicho / especialización","")))</x:f>
        <x:v>Nicho / especialización</x:v>
      </x:c>
      <x:c r="AE25" s="26" t="str"/>
      <x:c r="AF25" s="26" t="str"/>
      <x:c r="AG25" s="26" t="str">
        <x:f>IF(AND(AB25="Universal / núcleo",AE25="Alta"),"Muy alta",IF(AND(OR(AD25="Emergente en grado",AD25="Emergente desde nivel avanzado"),AE25="Alta"),"Muy alta",IF(OR(AB25="Universal / núcleo",AB25="Consolidada",AE25="Alta"),"Alta",IF(OR(AD25&lt;&gt;"",AE25="Media"),"Media","Baja"))))</x:f>
        <x:v>Media</x:v>
      </x:c>
      <x:c r="AH25" s="26" t="str">
        <x:v>Comparar con la malla EPN Agro antes de decidir mantener/reforzar/integrar/añadir.</x:v>
      </x:c>
    </x:row>
    <x:row r="26">
      <x:c r="A26" s="26" t="str">
        <x:v>A04</x:v>
      </x:c>
      <x:c r="B26" s="26" t="str">
        <x:v>Ciencias de Ingeniería</x:v>
      </x:c>
      <x:c r="C26" s="26" t="str">
        <x:v>S10</x:v>
      </x:c>
      <x:c r="D26" s="26" t="str">
        <x:v>Termodinámica y transporte</x:v>
      </x:c>
      <x:c r="E26" s="26" t="str">
        <x:v>F0402</x:v>
      </x:c>
      <x:c r="F26" s="26" t="str">
        <x:v>Mecánica de fluidos e hidráulica</x:v>
      </x:c>
      <x:c r="G26" s="26" t="str">
        <x:v>Flujo, pérdidas, bombas e hidráulica.</x:v>
      </x:c>
      <x:c r="H26" s="26" t="n">
        <x:f>COUNTIF('04_Presencia_Curriculos'!D26:X26,"&gt;0")</x:f>
        <x:v>6</x:v>
      </x:c>
      <x:c r="I26" s="32" t="n">
        <x:f>H26/'01_Metodologia'!$F$4</x:f>
        <x:v>0.2857142857142857</x:v>
      </x:c>
      <x:c r="J26" s="26" t="n">
        <x:f>COUNTIF('04_Presencia_Curriculos'!D26:Q26,"&gt;0")</x:f>
        <x:v>5</x:v>
      </x:c>
      <x:c r="K26" s="32" t="n">
        <x:f>J26/'01_Metodologia'!$F$5</x:f>
        <x:v>0.35714285714285715</x:v>
      </x:c>
      <x:c r="L26" s="26" t="n">
        <x:f>COUNTIF('04_Presencia_Curriculos'!D26:P26,"&gt;0")</x:f>
        <x:v>5</x:v>
      </x:c>
      <x:c r="M26" s="32" t="n">
        <x:f>L26/'01_Metodologia'!$F$6</x:f>
        <x:v>0.38461538461538464</x:v>
      </x:c>
      <x:c r="N26" s="26" t="n">
        <x:f>COUNTIF('04_Presencia_Curriculos'!D26:P26,2)</x:f>
        <x:v>5</x:v>
      </x:c>
      <x:c r="O26" s="32" t="n">
        <x:f>N26/'01_Metodologia'!$F$6</x:f>
        <x:v>0.38461538461538464</x:v>
      </x:c>
      <x:c r="P26" s="26" t="n">
        <x:f>COUNTIF('04_Presencia_Curriculos'!D26:P26,1)</x:f>
        <x:v>0</x:v>
      </x:c>
      <x:c r="Q26" s="26" t="n">
        <x:f>COUNTIF('04_Presencia_Curriculos'!R26:X26,"&gt;0")</x:f>
        <x:v>1</x:v>
      </x:c>
      <x:c r="R26" s="32" t="n">
        <x:f>Q26/'01_Metodologia'!$F$7</x:f>
        <x:v>0.14285714285714285</x:v>
      </x:c>
      <x:c r="S26" s="36" t="n">
        <x:v>1.7916666666666667</x:v>
      </x:c>
      <x:c r="T26" s="32" t="n">
        <x:f>AVERAGE('05_Peso_Creditos_Core'!D26:O26)</x:f>
        <x:v>0.008043981481481482</x:v>
      </x:c>
      <x:c r="U26" s="32" t="n">
        <x:f>MEDIAN('05_Peso_Creditos_Core'!D26:O26)</x:f>
        <x:v>0</x:v>
      </x:c>
      <x:c r="V26" s="34" t="n">
        <x:f>IF(COUNT('06_Posicion_Core'!D26:P26)=0,"",MEDIAN('06_Posicion_Core'!D26:P26))</x:f>
        <x:v>43.75</x:v>
      </x:c>
      <x:c r="W26" s="26" t="str">
        <x:f>IF(V26="","NR",IF(V26&lt;=25,"E1 Fundamentos",IF(V26&lt;=50,"E2 Fundamentos de ingeniería",IF(V26&lt;=75,"E3 Formación profesional","E4 Integración/especialización"))))</x:f>
        <x:v>E2 Fundamentos de ingeniería</x:v>
      </x:c>
      <x:c r="X26" s="26" t="n">
        <x:f>IF(COUNT('07_Profundidad_Core'!D26:P26)=0,"",MEDIAN('07_Profundidad_Core'!D26:P26))</x:f>
        <x:v>1</x:v>
      </x:c>
      <x:c r="Y26" s="26" t="str">
        <x:f>IF(X26="","NR",IF(X26=INT(X26),"N"&amp;TEXT(X26,"0"),"N"&amp;TEXT(INT(X26),"0")&amp;"–N"&amp;TEXT(INT(X26)+1,"0")))</x:f>
        <x:v>N1</x:v>
      </x:c>
      <x:c r="Z26" s="32" t="n">
        <x:v>0</x:v>
      </x:c>
      <x:c r="AA26" s="32" t="n">
        <x:v>0</x:v>
      </x:c>
      <x:c r="AB26" s="26" t="str">
        <x:f>IF(M26&gt;=0.75,"Universal / núcleo",IF(M26&gt;=0.5,"Consolidada",IF(M26&gt;=0.25,"Selectiva","Baja prevalencia")))</x:f>
        <x:v>Selectiva</x:v>
      </x:c>
      <x:c r="AC26" s="26" t="str">
        <x:v>No</x:v>
      </x:c>
      <x:c r="AD26" s="26" t="str">
        <x:f>IF(AND(AC26="Sí",L26&gt;=2,M26&lt;0.5,V26&gt;=45),"Emergente en grado",IF(AND(AC26="Sí",L26&lt;=1,Q26&gt;=2),"Emergente desde nivel avanzado",IF(AND(M26&lt;0.25,L26&gt;=1),"Nicho / especialización","")))</x:f>
      </x:c>
      <x:c r="AE26" s="26" t="str"/>
      <x:c r="AF26" s="26" t="str"/>
      <x:c r="AG26" s="26" t="str">
        <x:f>IF(AND(AB26="Universal / núcleo",AE26="Alta"),"Muy alta",IF(AND(OR(AD26="Emergente en grado",AD26="Emergente desde nivel avanzado"),AE26="Alta"),"Muy alta",IF(OR(AB26="Universal / núcleo",AB26="Consolidada",AE26="Alta"),"Alta",IF(OR(AD26&lt;&gt;"",AE26="Media"),"Media","Baja"))))</x:f>
        <x:v>Baja</x:v>
      </x:c>
      <x:c r="AH26" s="26" t="str">
        <x:v>Comparar con la malla EPN Agro antes de decidir mantener/reforzar/integrar/añadir.</x:v>
      </x:c>
    </x:row>
    <x:row r="27">
      <x:c r="A27" s="26" t="str">
        <x:v>A04</x:v>
      </x:c>
      <x:c r="B27" s="26" t="str">
        <x:v>Ciencias de Ingeniería</x:v>
      </x:c>
      <x:c r="C27" s="26" t="str">
        <x:v>S10</x:v>
      </x:c>
      <x:c r="D27" s="26" t="str">
        <x:v>Termodinámica y transporte</x:v>
      </x:c>
      <x:c r="E27" s="26" t="str">
        <x:v>F0403</x:v>
      </x:c>
      <x:c r="F27" s="26" t="str">
        <x:v>Transferencia de calor</x:v>
      </x:c>
      <x:c r="G27" s="26" t="str">
        <x:v>Conducción, convección y radiación.</x:v>
      </x:c>
      <x:c r="H27" s="26" t="n">
        <x:f>COUNTIF('04_Presencia_Curriculos'!D27:X27,"&gt;0")</x:f>
        <x:v>3</x:v>
      </x:c>
      <x:c r="I27" s="32" t="n">
        <x:f>H27/'01_Metodologia'!$F$4</x:f>
        <x:v>0.14285714285714285</x:v>
      </x:c>
      <x:c r="J27" s="26" t="n">
        <x:f>COUNTIF('04_Presencia_Curriculos'!D27:Q27,"&gt;0")</x:f>
        <x:v>3</x:v>
      </x:c>
      <x:c r="K27" s="32" t="n">
        <x:f>J27/'01_Metodologia'!$F$5</x:f>
        <x:v>0.21428571428571427</x:v>
      </x:c>
      <x:c r="L27" s="26" t="n">
        <x:f>COUNTIF('04_Presencia_Curriculos'!D27:P27,"&gt;0")</x:f>
        <x:v>3</x:v>
      </x:c>
      <x:c r="M27" s="32" t="n">
        <x:f>L27/'01_Metodologia'!$F$6</x:f>
        <x:v>0.23076923076923078</x:v>
      </x:c>
      <x:c r="N27" s="26" t="n">
        <x:f>COUNTIF('04_Presencia_Curriculos'!D27:P27,2)</x:f>
        <x:v>3</x:v>
      </x:c>
      <x:c r="O27" s="32" t="n">
        <x:f>N27/'01_Metodologia'!$F$6</x:f>
        <x:v>0.23076923076923078</x:v>
      </x:c>
      <x:c r="P27" s="26" t="n">
        <x:f>COUNTIF('04_Presencia_Curriculos'!D27:P27,1)</x:f>
        <x:v>0</x:v>
      </x:c>
      <x:c r="Q27" s="26" t="n">
        <x:f>COUNTIF('04_Presencia_Curriculos'!R27:X27,"&gt;0")</x:f>
        <x:v>0</x:v>
      </x:c>
      <x:c r="R27" s="32" t="n">
        <x:f>Q27/'01_Metodologia'!$F$7</x:f>
        <x:v>0</x:v>
      </x:c>
      <x:c r="S27" s="36" t="n">
        <x:v>1.4166666666666667</x:v>
      </x:c>
      <x:c r="T27" s="32" t="n">
        <x:f>AVERAGE('05_Peso_Creditos_Core'!D27:O27)</x:f>
        <x:v>0.007175925925925926</x:v>
      </x:c>
      <x:c r="U27" s="32" t="n">
        <x:f>MEDIAN('05_Peso_Creditos_Core'!D27:O27)</x:f>
        <x:v>0</x:v>
      </x:c>
      <x:c r="V27" s="34" t="n">
        <x:f>IF(COUNT('06_Posicion_Core'!D27:P27)=0,"",MEDIAN('06_Posicion_Core'!D27:P27))</x:f>
        <x:v>25</x:v>
      </x:c>
      <x:c r="W27" s="26" t="str">
        <x:f>IF(V27="","NR",IF(V27&lt;=25,"E1 Fundamentos",IF(V27&lt;=50,"E2 Fundamentos de ingeniería",IF(V27&lt;=75,"E3 Formación profesional","E4 Integración/especialización"))))</x:f>
        <x:v>E1 Fundamentos</x:v>
      </x:c>
      <x:c r="X27" s="26" t="n">
        <x:f>IF(COUNT('07_Profundidad_Core'!D27:P27)=0,"",MEDIAN('07_Profundidad_Core'!D27:P27))</x:f>
        <x:v>1</x:v>
      </x:c>
      <x:c r="Y27" s="26" t="str">
        <x:f>IF(X27="","NR",IF(X27=INT(X27),"N"&amp;TEXT(X27,"0"),"N"&amp;TEXT(INT(X27),"0")&amp;"–N"&amp;TEXT(INT(X27)+1,"0")))</x:f>
        <x:v>N1</x:v>
      </x:c>
      <x:c r="Z27" s="32" t="n">
        <x:v>0</x:v>
      </x:c>
      <x:c r="AA27" s="32" t="n">
        <x:v>0</x:v>
      </x:c>
      <x:c r="AB27" s="26" t="str">
        <x:f>IF(M27&gt;=0.75,"Universal / núcleo",IF(M27&gt;=0.5,"Consolidada",IF(M27&gt;=0.25,"Selectiva","Baja prevalencia")))</x:f>
        <x:v>Baja prevalencia</x:v>
      </x:c>
      <x:c r="AC27" s="26" t="str">
        <x:v>No</x:v>
      </x:c>
      <x:c r="AD27" s="26" t="str">
        <x:f>IF(AND(AC27="Sí",L27&gt;=2,M27&lt;0.5,V27&gt;=45),"Emergente en grado",IF(AND(AC27="Sí",L27&lt;=1,Q27&gt;=2),"Emergente desde nivel avanzado",IF(AND(M27&lt;0.25,L27&gt;=1),"Nicho / especialización","")))</x:f>
        <x:v>Nicho / especialización</x:v>
      </x:c>
      <x:c r="AE27" s="26" t="str"/>
      <x:c r="AF27" s="26" t="str"/>
      <x:c r="AG27" s="26" t="str">
        <x:f>IF(AND(AB27="Universal / núcleo",AE27="Alta"),"Muy alta",IF(AND(OR(AD27="Emergente en grado",AD27="Emergente desde nivel avanzado"),AE27="Alta"),"Muy alta",IF(OR(AB27="Universal / núcleo",AB27="Consolidada",AE27="Alta"),"Alta",IF(OR(AD27&lt;&gt;"",AE27="Media"),"Media","Baja"))))</x:f>
        <x:v>Media</x:v>
      </x:c>
      <x:c r="AH27" s="26" t="str">
        <x:v>Comparar con la malla EPN Agro antes de decidir mantener/reforzar/integrar/añadir.</x:v>
      </x:c>
    </x:row>
    <x:row r="28">
      <x:c r="A28" s="26" t="str">
        <x:v>A04</x:v>
      </x:c>
      <x:c r="B28" s="26" t="str">
        <x:v>Ciencias de Ingeniería</x:v>
      </x:c>
      <x:c r="C28" s="26" t="str">
        <x:v>S10</x:v>
      </x:c>
      <x:c r="D28" s="26" t="str">
        <x:v>Termodinámica y transporte</x:v>
      </x:c>
      <x:c r="E28" s="26" t="str">
        <x:v>F0404</x:v>
      </x:c>
      <x:c r="F28" s="26" t="str">
        <x:v>Transferencia de masa</x:v>
      </x:c>
      <x:c r="G28" s="26" t="str">
        <x:v>Difusión y transferencia de materia.</x:v>
      </x:c>
      <x:c r="H28" s="26" t="n">
        <x:f>COUNTIF('04_Presencia_Curriculos'!D28:X28,"&gt;0")</x:f>
        <x:v>1</x:v>
      </x:c>
      <x:c r="I28" s="32" t="n">
        <x:f>H28/'01_Metodologia'!$F$4</x:f>
        <x:v>0.047619047619047616</x:v>
      </x:c>
      <x:c r="J28" s="26" t="n">
        <x:f>COUNTIF('04_Presencia_Curriculos'!D28:Q28,"&gt;0")</x:f>
        <x:v>0</x:v>
      </x:c>
      <x:c r="K28" s="32" t="n">
        <x:f>J28/'01_Metodologia'!$F$5</x:f>
        <x:v>0</x:v>
      </x:c>
      <x:c r="L28" s="26" t="n">
        <x:f>COUNTIF('04_Presencia_Curriculos'!D28:P28,"&gt;0")</x:f>
        <x:v>0</x:v>
      </x:c>
      <x:c r="M28" s="32" t="n">
        <x:f>L28/'01_Metodologia'!$F$6</x:f>
        <x:v>0</x:v>
      </x:c>
      <x:c r="N28" s="26" t="n">
        <x:f>COUNTIF('04_Presencia_Curriculos'!D28:P28,2)</x:f>
        <x:v>0</x:v>
      </x:c>
      <x:c r="O28" s="32" t="n">
        <x:f>N28/'01_Metodologia'!$F$6</x:f>
        <x:v>0</x:v>
      </x:c>
      <x:c r="P28" s="26" t="n">
        <x:f>COUNTIF('04_Presencia_Curriculos'!D28:P28,1)</x:f>
        <x:v>0</x:v>
      </x:c>
      <x:c r="Q28" s="26" t="n">
        <x:f>COUNTIF('04_Presencia_Curriculos'!R28:X28,"&gt;0")</x:f>
        <x:v>1</x:v>
      </x:c>
      <x:c r="R28" s="32" t="n">
        <x:f>Q28/'01_Metodologia'!$F$7</x:f>
        <x:v>0.14285714285714285</x:v>
      </x:c>
      <x:c r="S28" s="36" t="n">
        <x:v>0</x:v>
      </x:c>
      <x:c r="T28" s="32" t="n">
        <x:f>AVERAGE('05_Peso_Creditos_Core'!D28:O28)</x:f>
        <x:v>0</x:v>
      </x:c>
      <x:c r="U28" s="32" t="n">
        <x:f>MEDIAN('05_Peso_Creditos_Core'!D28:O28)</x:f>
        <x:v>0</x:v>
      </x:c>
      <x:c r="V28" s="34" t="str">
        <x:f>IF(COUNT('06_Posicion_Core'!D28:P28)=0,"",MEDIAN('06_Posicion_Core'!D28:P28))</x:f>
      </x:c>
      <x:c r="W28" s="26" t="str">
        <x:f>IF(V28="","NR",IF(V28&lt;=25,"E1 Fundamentos",IF(V28&lt;=50,"E2 Fundamentos de ingeniería",IF(V28&lt;=75,"E3 Formación profesional","E4 Integración/especialización"))))</x:f>
        <x:v>NR</x:v>
      </x:c>
      <x:c r="X28" s="26" t="str">
        <x:f>IF(COUNT('07_Profundidad_Core'!D28:P28)=0,"",MEDIAN('07_Profundidad_Core'!D28:P28))</x:f>
      </x:c>
      <x:c r="Y28" s="26" t="str">
        <x:f>IF(X28="","NR",IF(X28=INT(X28),"N"&amp;TEXT(X28,"0"),"N"&amp;TEXT(INT(X28),"0")&amp;"–N"&amp;TEXT(INT(X28)+1,"0")))</x:f>
        <x:v>NR</x:v>
      </x:c>
      <x:c r="Z28" s="32"/>
      <x:c r="AA28" s="32"/>
      <x:c r="AB28" s="26" t="str">
        <x:f>IF(M28&gt;=0.75,"Universal / núcleo",IF(M28&gt;=0.5,"Consolidada",IF(M28&gt;=0.25,"Selectiva","Baja prevalencia")))</x:f>
        <x:v>Baja prevalencia</x:v>
      </x:c>
      <x:c r="AC28" s="26" t="str">
        <x:v>No</x:v>
      </x:c>
      <x:c r="AD28" s="26" t="str">
        <x:f>IF(AND(AC28="Sí",L28&gt;=2,M28&lt;0.5,V28&gt;=45),"Emergente en grado",IF(AND(AC28="Sí",L28&lt;=1,Q28&gt;=2),"Emergente desde nivel avanzado",IF(AND(M28&lt;0.25,L28&gt;=1),"Nicho / especialización","")))</x:f>
      </x:c>
      <x:c r="AE28" s="26" t="str"/>
      <x:c r="AF28" s="26" t="str"/>
      <x:c r="AG28" s="26" t="str">
        <x:f>IF(AND(AB28="Universal / núcleo",AE28="Alta"),"Muy alta",IF(AND(OR(AD28="Emergente en grado",AD28="Emergente desde nivel avanzado"),AE28="Alta"),"Muy alta",IF(OR(AB28="Universal / núcleo",AB28="Consolidada",AE28="Alta"),"Alta",IF(OR(AD28&lt;&gt;"",AE28="Media"),"Media","Baja"))))</x:f>
        <x:v>Baja</x:v>
      </x:c>
      <x:c r="AH28" s="26" t="str">
        <x:v>Comparar con la malla EPN Agro antes de decidir mantener/reforzar/integrar/añadir.</x:v>
      </x:c>
    </x:row>
    <x:row r="29">
      <x:c r="A29" s="26" t="str">
        <x:v>A04</x:v>
      </x:c>
      <x:c r="B29" s="26" t="str">
        <x:v>Ciencias de Ingeniería</x:v>
      </x:c>
      <x:c r="C29" s="26" t="str">
        <x:v>S11</x:v>
      </x:c>
      <x:c r="D29" s="26" t="str">
        <x:v>Mecánica y materiales</x:v>
      </x:c>
      <x:c r="E29" s="26" t="str">
        <x:v>F0405</x:v>
      </x:c>
      <x:c r="F29" s="26" t="str">
        <x:v>Mecánica, resistencia y materiales</x:v>
      </x:c>
      <x:c r="G29" s="26" t="str">
        <x:v>Mecánica técnica y resistencia/materiales.</x:v>
      </x:c>
      <x:c r="H29" s="26" t="n">
        <x:f>COUNTIF('04_Presencia_Curriculos'!D29:X29,"&gt;0")</x:f>
        <x:v>4</x:v>
      </x:c>
      <x:c r="I29" s="32" t="n">
        <x:f>H29/'01_Metodologia'!$F$4</x:f>
        <x:v>0.19047619047619047</x:v>
      </x:c>
      <x:c r="J29" s="26" t="n">
        <x:f>COUNTIF('04_Presencia_Curriculos'!D29:Q29,"&gt;0")</x:f>
        <x:v>4</x:v>
      </x:c>
      <x:c r="K29" s="32" t="n">
        <x:f>J29/'01_Metodologia'!$F$5</x:f>
        <x:v>0.2857142857142857</x:v>
      </x:c>
      <x:c r="L29" s="26" t="n">
        <x:f>COUNTIF('04_Presencia_Curriculos'!D29:P29,"&gt;0")</x:f>
        <x:v>4</x:v>
      </x:c>
      <x:c r="M29" s="32" t="n">
        <x:f>L29/'01_Metodologia'!$F$6</x:f>
        <x:v>0.3076923076923077</x:v>
      </x:c>
      <x:c r="N29" s="26" t="n">
        <x:f>COUNTIF('04_Presencia_Curriculos'!D29:P29,2)</x:f>
        <x:v>4</x:v>
      </x:c>
      <x:c r="O29" s="32" t="n">
        <x:f>N29/'01_Metodologia'!$F$6</x:f>
        <x:v>0.3076923076923077</x:v>
      </x:c>
      <x:c r="P29" s="26" t="n">
        <x:f>COUNTIF('04_Presencia_Curriculos'!D29:P29,1)</x:f>
        <x:v>0</x:v>
      </x:c>
      <x:c r="Q29" s="26" t="n">
        <x:f>COUNTIF('04_Presencia_Curriculos'!R29:X29,"&gt;0")</x:f>
        <x:v>0</x:v>
      </x:c>
      <x:c r="R29" s="32" t="n">
        <x:f>Q29/'01_Metodologia'!$F$7</x:f>
        <x:v>0</x:v>
      </x:c>
      <x:c r="S29" s="36" t="n">
        <x:v>2.2083333333333335</x:v>
      </x:c>
      <x:c r="T29" s="32" t="n">
        <x:f>AVERAGE('05_Peso_Creditos_Core'!D29:O29)</x:f>
        <x:v>0.011168981481481481</x:v>
      </x:c>
      <x:c r="U29" s="32" t="n">
        <x:f>MEDIAN('05_Peso_Creditos_Core'!D29:O29)</x:f>
        <x:v>0</x:v>
      </x:c>
      <x:c r="V29" s="34" t="n">
        <x:f>IF(COUNT('06_Posicion_Core'!D29:P29)=0,"",MEDIAN('06_Posicion_Core'!D29:P29))</x:f>
        <x:v>43.75</x:v>
      </x:c>
      <x:c r="W29" s="26" t="str">
        <x:f>IF(V29="","NR",IF(V29&lt;=25,"E1 Fundamentos",IF(V29&lt;=50,"E2 Fundamentos de ingeniería",IF(V29&lt;=75,"E3 Formación profesional","E4 Integración/especialización"))))</x:f>
        <x:v>E2 Fundamentos de ingeniería</x:v>
      </x:c>
      <x:c r="X29" s="26" t="n">
        <x:f>IF(COUNT('07_Profundidad_Core'!D29:P29)=0,"",MEDIAN('07_Profundidad_Core'!D29:P29))</x:f>
        <x:v>1</x:v>
      </x:c>
      <x:c r="Y29" s="26" t="str">
        <x:f>IF(X29="","NR",IF(X29=INT(X29),"N"&amp;TEXT(X29,"0"),"N"&amp;TEXT(INT(X29),"0")&amp;"–N"&amp;TEXT(INT(X29)+1,"0")))</x:f>
        <x:v>N1</x:v>
      </x:c>
      <x:c r="Z29" s="32" t="n">
        <x:v>0</x:v>
      </x:c>
      <x:c r="AA29" s="32" t="n">
        <x:v>0</x:v>
      </x:c>
      <x:c r="AB29" s="26" t="str">
        <x:f>IF(M29&gt;=0.75,"Universal / núcleo",IF(M29&gt;=0.5,"Consolidada",IF(M29&gt;=0.25,"Selectiva","Baja prevalencia")))</x:f>
        <x:v>Selectiva</x:v>
      </x:c>
      <x:c r="AC29" s="26" t="str">
        <x:v>No</x:v>
      </x:c>
      <x:c r="AD29" s="26" t="str">
        <x:f>IF(AND(AC29="Sí",L29&gt;=2,M29&lt;0.5,V29&gt;=45),"Emergente en grado",IF(AND(AC29="Sí",L29&lt;=1,Q29&gt;=2),"Emergente desde nivel avanzado",IF(AND(M29&lt;0.25,L29&gt;=1),"Nicho / especialización","")))</x:f>
      </x:c>
      <x:c r="AE29" s="26" t="str"/>
      <x:c r="AF29" s="26" t="str"/>
      <x:c r="AG29" s="26" t="str">
        <x:f>IF(AND(AB29="Universal / núcleo",AE29="Alta"),"Muy alta",IF(AND(OR(AD29="Emergente en grado",AD29="Emergente desde nivel avanzado"),AE29="Alta"),"Muy alta",IF(OR(AB29="Universal / núcleo",AB29="Consolidada",AE29="Alta"),"Alta",IF(OR(AD29&lt;&gt;"",AE29="Media"),"Media","Baja"))))</x:f>
        <x:v>Baja</x:v>
      </x:c>
      <x:c r="AH29" s="26" t="str">
        <x:v>Comparar con la malla EPN Agro antes de decidir mantener/reforzar/integrar/añadir.</x:v>
      </x:c>
    </x:row>
    <x:row r="30">
      <x:c r="A30" s="26" t="str">
        <x:v>A04</x:v>
      </x:c>
      <x:c r="B30" s="26" t="str">
        <x:v>Ciencias de Ingeniería</x:v>
      </x:c>
      <x:c r="C30" s="26" t="str">
        <x:v>S11</x:v>
      </x:c>
      <x:c r="D30" s="26" t="str">
        <x:v>Mecánica y materiales</x:v>
      </x:c>
      <x:c r="E30" s="26" t="str">
        <x:v>F0406</x:v>
      </x:c>
      <x:c r="F30" s="26" t="str">
        <x:v>Estructuras y construcción básica</x:v>
      </x:c>
      <x:c r="G30" s="26" t="str">
        <x:v>Cálculo estructural general.</x:v>
      </x:c>
      <x:c r="H30" s="26" t="n">
        <x:f>COUNTIF('04_Presencia_Curriculos'!D30:X30,"&gt;0")</x:f>
        <x:v>4</x:v>
      </x:c>
      <x:c r="I30" s="32" t="n">
        <x:f>H30/'01_Metodologia'!$F$4</x:f>
        <x:v>0.19047619047619047</x:v>
      </x:c>
      <x:c r="J30" s="26" t="n">
        <x:f>COUNTIF('04_Presencia_Curriculos'!D30:Q30,"&gt;0")</x:f>
        <x:v>4</x:v>
      </x:c>
      <x:c r="K30" s="32" t="n">
        <x:f>J30/'01_Metodologia'!$F$5</x:f>
        <x:v>0.2857142857142857</x:v>
      </x:c>
      <x:c r="L30" s="26" t="n">
        <x:f>COUNTIF('04_Presencia_Curriculos'!D30:P30,"&gt;0")</x:f>
        <x:v>4</x:v>
      </x:c>
      <x:c r="M30" s="32" t="n">
        <x:f>L30/'01_Metodologia'!$F$6</x:f>
        <x:v>0.3076923076923077</x:v>
      </x:c>
      <x:c r="N30" s="26" t="n">
        <x:f>COUNTIF('04_Presencia_Curriculos'!D30:P30,2)</x:f>
        <x:v>4</x:v>
      </x:c>
      <x:c r="O30" s="32" t="n">
        <x:f>N30/'01_Metodologia'!$F$6</x:f>
        <x:v>0.3076923076923077</x:v>
      </x:c>
      <x:c r="P30" s="26" t="n">
        <x:f>COUNTIF('04_Presencia_Curriculos'!D30:P30,1)</x:f>
        <x:v>0</x:v>
      </x:c>
      <x:c r="Q30" s="26" t="n">
        <x:f>COUNTIF('04_Presencia_Curriculos'!R30:X30,"&gt;0")</x:f>
        <x:v>0</x:v>
      </x:c>
      <x:c r="R30" s="32" t="n">
        <x:f>Q30/'01_Metodologia'!$F$7</x:f>
        <x:v>0</x:v>
      </x:c>
      <x:c r="S30" s="36" t="n">
        <x:v>2</x:v>
      </x:c>
      <x:c r="T30" s="32" t="n">
        <x:f>AVERAGE('05_Peso_Creditos_Core'!D30:O30)</x:f>
        <x:v>0.008333333333333333</x:v>
      </x:c>
      <x:c r="U30" s="32" t="n">
        <x:f>MEDIAN('05_Peso_Creditos_Core'!D30:O30)</x:f>
        <x:v>0</x:v>
      </x:c>
      <x:c r="V30" s="34" t="n">
        <x:f>IF(COUNT('06_Posicion_Core'!D30:P30)=0,"",MEDIAN('06_Posicion_Core'!D30:P30))</x:f>
        <x:v>56.25</x:v>
      </x:c>
      <x:c r="W30" s="26" t="str">
        <x:f>IF(V30="","NR",IF(V30&lt;=25,"E1 Fundamentos",IF(V30&lt;=50,"E2 Fundamentos de ingeniería",IF(V30&lt;=75,"E3 Formación profesional","E4 Integración/especialización"))))</x:f>
        <x:v>E3 Formación profesional</x:v>
      </x:c>
      <x:c r="X30" s="26" t="n">
        <x:f>IF(COUNT('07_Profundidad_Core'!D30:P30)=0,"",MEDIAN('07_Profundidad_Core'!D30:P30))</x:f>
        <x:v>1</x:v>
      </x:c>
      <x:c r="Y30" s="26" t="str">
        <x:f>IF(X30="","NR",IF(X30=INT(X30),"N"&amp;TEXT(X30,"0"),"N"&amp;TEXT(INT(X30),"0")&amp;"–N"&amp;TEXT(INT(X30)+1,"0")))</x:f>
        <x:v>N1</x:v>
      </x:c>
      <x:c r="Z30" s="32" t="n">
        <x:v>0</x:v>
      </x:c>
      <x:c r="AA30" s="32" t="n">
        <x:v>0</x:v>
      </x:c>
      <x:c r="AB30" s="26" t="str">
        <x:f>IF(M30&gt;=0.75,"Universal / núcleo",IF(M30&gt;=0.5,"Consolidada",IF(M30&gt;=0.25,"Selectiva","Baja prevalencia")))</x:f>
        <x:v>Selectiva</x:v>
      </x:c>
      <x:c r="AC30" s="26" t="str">
        <x:v>No</x:v>
      </x:c>
      <x:c r="AD30" s="26" t="str">
        <x:f>IF(AND(AC30="Sí",L30&gt;=2,M30&lt;0.5,V30&gt;=45),"Emergente en grado",IF(AND(AC30="Sí",L30&lt;=1,Q30&gt;=2),"Emergente desde nivel avanzado",IF(AND(M30&lt;0.25,L30&gt;=1),"Nicho / especialización","")))</x:f>
      </x:c>
      <x:c r="AE30" s="26" t="str"/>
      <x:c r="AF30" s="26" t="str"/>
      <x:c r="AG30" s="26" t="str">
        <x:f>IF(AND(AB30="Universal / núcleo",AE30="Alta"),"Muy alta",IF(AND(OR(AD30="Emergente en grado",AD30="Emergente desde nivel avanzado"),AE30="Alta"),"Muy alta",IF(OR(AB30="Universal / núcleo",AB30="Consolidada",AE30="Alta"),"Alta",IF(OR(AD30&lt;&gt;"",AE30="Media"),"Media","Baja"))))</x:f>
        <x:v>Baja</x:v>
      </x:c>
      <x:c r="AH30" s="26" t="str">
        <x:v>Comparar con la malla EPN Agro antes de decidir mantener/reforzar/integrar/añadir.</x:v>
      </x:c>
    </x:row>
    <x:row r="31">
      <x:c r="A31" s="26" t="str">
        <x:v>A04</x:v>
      </x:c>
      <x:c r="B31" s="26" t="str">
        <x:v>Ciencias de Ingeniería</x:v>
      </x:c>
      <x:c r="C31" s="26" t="str">
        <x:v>S12</x:v>
      </x:c>
      <x:c r="D31" s="26" t="str">
        <x:v>Electricidad</x:v>
      </x:c>
      <x:c r="E31" s="26" t="str">
        <x:v>F0407</x:v>
      </x:c>
      <x:c r="F31" s="26" t="str">
        <x:v>Electrotecnia y electrónica</x:v>
      </x:c>
      <x:c r="G31" s="26" t="str">
        <x:v>Circuitos, máquinas y electrónica.</x:v>
      </x:c>
      <x:c r="H31" s="26" t="n">
        <x:f>COUNTIF('04_Presencia_Curriculos'!D31:X31,"&gt;0")</x:f>
        <x:v>6</x:v>
      </x:c>
      <x:c r="I31" s="32" t="n">
        <x:f>H31/'01_Metodologia'!$F$4</x:f>
        <x:v>0.2857142857142857</x:v>
      </x:c>
      <x:c r="J31" s="26" t="n">
        <x:f>COUNTIF('04_Presencia_Curriculos'!D31:Q31,"&gt;0")</x:f>
        <x:v>6</x:v>
      </x:c>
      <x:c r="K31" s="32" t="n">
        <x:f>J31/'01_Metodologia'!$F$5</x:f>
        <x:v>0.42857142857142855</x:v>
      </x:c>
      <x:c r="L31" s="26" t="n">
        <x:f>COUNTIF('04_Presencia_Curriculos'!D31:P31,"&gt;0")</x:f>
        <x:v>5</x:v>
      </x:c>
      <x:c r="M31" s="32" t="n">
        <x:f>L31/'01_Metodologia'!$F$6</x:f>
        <x:v>0.38461538461538464</x:v>
      </x:c>
      <x:c r="N31" s="26" t="n">
        <x:f>COUNTIF('04_Presencia_Curriculos'!D31:P31,2)</x:f>
        <x:v>4</x:v>
      </x:c>
      <x:c r="O31" s="32" t="n">
        <x:f>N31/'01_Metodologia'!$F$6</x:f>
        <x:v>0.3076923076923077</x:v>
      </x:c>
      <x:c r="P31" s="26" t="n">
        <x:f>COUNTIF('04_Presencia_Curriculos'!D31:P31,1)</x:f>
        <x:v>1</x:v>
      </x:c>
      <x:c r="Q31" s="26" t="n">
        <x:f>COUNTIF('04_Presencia_Curriculos'!R31:X31,"&gt;0")</x:f>
        <x:v>0</x:v>
      </x:c>
      <x:c r="R31" s="32" t="n">
        <x:f>Q31/'01_Metodologia'!$F$7</x:f>
        <x:v>0</x:v>
      </x:c>
      <x:c r="S31" s="36" t="n">
        <x:v>1.375</x:v>
      </x:c>
      <x:c r="T31" s="32" t="n">
        <x:f>AVERAGE('05_Peso_Creditos_Core'!D31:O31)</x:f>
        <x:v>0.005729166666666667</x:v>
      </x:c>
      <x:c r="U31" s="32" t="n">
        <x:f>MEDIAN('05_Peso_Creditos_Core'!D31:O31)</x:f>
        <x:v>0</x:v>
      </x:c>
      <x:c r="V31" s="34" t="n">
        <x:f>IF(COUNT('06_Posicion_Core'!D31:P31)=0,"",MEDIAN('06_Posicion_Core'!D31:P31))</x:f>
        <x:v>43.75</x:v>
      </x:c>
      <x:c r="W31" s="26" t="str">
        <x:f>IF(V31="","NR",IF(V31&lt;=25,"E1 Fundamentos",IF(V31&lt;=50,"E2 Fundamentos de ingeniería",IF(V31&lt;=75,"E3 Formación profesional","E4 Integración/especialización"))))</x:f>
        <x:v>E2 Fundamentos de ingeniería</x:v>
      </x:c>
      <x:c r="X31" s="26" t="n">
        <x:f>IF(COUNT('07_Profundidad_Core'!D31:P31)=0,"",MEDIAN('07_Profundidad_Core'!D31:P31))</x:f>
        <x:v>1</x:v>
      </x:c>
      <x:c r="Y31" s="26" t="str">
        <x:f>IF(X31="","NR",IF(X31=INT(X31),"N"&amp;TEXT(X31,"0"),"N"&amp;TEXT(INT(X31),"0")&amp;"–N"&amp;TEXT(INT(X31)+1,"0")))</x:f>
        <x:v>N1</x:v>
      </x:c>
      <x:c r="Z31" s="32" t="n">
        <x:v>0</x:v>
      </x:c>
      <x:c r="AA31" s="32" t="n">
        <x:v>0</x:v>
      </x:c>
      <x:c r="AB31" s="26" t="str">
        <x:f>IF(M31&gt;=0.75,"Universal / núcleo",IF(M31&gt;=0.5,"Consolidada",IF(M31&gt;=0.25,"Selectiva","Baja prevalencia")))</x:f>
        <x:v>Selectiva</x:v>
      </x:c>
      <x:c r="AC31" s="26" t="str">
        <x:v>No</x:v>
      </x:c>
      <x:c r="AD31" s="26" t="str">
        <x:f>IF(AND(AC31="Sí",L31&gt;=2,M31&lt;0.5,V31&gt;=45),"Emergente en grado",IF(AND(AC31="Sí",L31&lt;=1,Q31&gt;=2),"Emergente desde nivel avanzado",IF(AND(M31&lt;0.25,L31&gt;=1),"Nicho / especialización","")))</x:f>
      </x:c>
      <x:c r="AE31" s="26" t="str"/>
      <x:c r="AF31" s="26" t="str"/>
      <x:c r="AG31" s="26" t="str">
        <x:f>IF(AND(AB31="Universal / núcleo",AE31="Alta"),"Muy alta",IF(AND(OR(AD31="Emergente en grado",AD31="Emergente desde nivel avanzado"),AE31="Alta"),"Muy alta",IF(OR(AB31="Universal / núcleo",AB31="Consolidada",AE31="Alta"),"Alta",IF(OR(AD31&lt;&gt;"",AE31="Media"),"Media","Baja"))))</x:f>
        <x:v>Baja</x:v>
      </x:c>
      <x:c r="AH31" s="26" t="str">
        <x:v>Comparar con la malla EPN Agro antes de decidir mantener/reforzar/integrar/añadir.</x:v>
      </x:c>
    </x:row>
    <x:row r="32">
      <x:c r="A32" s="26" t="str">
        <x:v>A05</x:v>
      </x:c>
      <x:c r="B32" s="26" t="str">
        <x:v>Ingeniería de Procesos y Operaciones Unitarias</x:v>
      </x:c>
      <x:c r="C32" s="26" t="str">
        <x:v>S13</x:v>
      </x:c>
      <x:c r="D32" s="26" t="str">
        <x:v>Fundamentos de proceso</x:v>
      </x:c>
      <x:c r="E32" s="26" t="str">
        <x:v>F0501</x:v>
      </x:c>
      <x:c r="F32" s="26" t="str">
        <x:v>Balances de materia y energía</x:v>
      </x:c>
      <x:c r="G32" s="26" t="str">
        <x:v>Balances y conservación de proceso.</x:v>
      </x:c>
      <x:c r="H32" s="26" t="n">
        <x:f>COUNTIF('04_Presencia_Curriculos'!D32:X32,"&gt;0")</x:f>
        <x:v>0</x:v>
      </x:c>
      <x:c r="I32" s="32" t="n">
        <x:f>H32/'01_Metodologia'!$F$4</x:f>
        <x:v>0</x:v>
      </x:c>
      <x:c r="J32" s="26" t="n">
        <x:f>COUNTIF('04_Presencia_Curriculos'!D32:Q32,"&gt;0")</x:f>
        <x:v>0</x:v>
      </x:c>
      <x:c r="K32" s="32" t="n">
        <x:f>J32/'01_Metodologia'!$F$5</x:f>
        <x:v>0</x:v>
      </x:c>
      <x:c r="L32" s="26" t="n">
        <x:f>COUNTIF('04_Presencia_Curriculos'!D32:P32,"&gt;0")</x:f>
        <x:v>0</x:v>
      </x:c>
      <x:c r="M32" s="32" t="n">
        <x:f>L32/'01_Metodologia'!$F$6</x:f>
        <x:v>0</x:v>
      </x:c>
      <x:c r="N32" s="26" t="n">
        <x:f>COUNTIF('04_Presencia_Curriculos'!D32:P32,2)</x:f>
        <x:v>0</x:v>
      </x:c>
      <x:c r="O32" s="32" t="n">
        <x:f>N32/'01_Metodologia'!$F$6</x:f>
        <x:v>0</x:v>
      </x:c>
      <x:c r="P32" s="26" t="n">
        <x:f>COUNTIF('04_Presencia_Curriculos'!D32:P32,1)</x:f>
        <x:v>0</x:v>
      </x:c>
      <x:c r="Q32" s="26" t="n">
        <x:f>COUNTIF('04_Presencia_Curriculos'!R32:X32,"&gt;0")</x:f>
        <x:v>0</x:v>
      </x:c>
      <x:c r="R32" s="32" t="n">
        <x:f>Q32/'01_Metodologia'!$F$7</x:f>
        <x:v>0</x:v>
      </x:c>
      <x:c r="S32" s="36" t="n">
        <x:v>0</x:v>
      </x:c>
      <x:c r="T32" s="32" t="n">
        <x:f>AVERAGE('05_Peso_Creditos_Core'!D32:O32)</x:f>
        <x:v>0</x:v>
      </x:c>
      <x:c r="U32" s="32" t="n">
        <x:f>MEDIAN('05_Peso_Creditos_Core'!D32:O32)</x:f>
        <x:v>0</x:v>
      </x:c>
      <x:c r="V32" s="34" t="str">
        <x:f>IF(COUNT('06_Posicion_Core'!D32:P32)=0,"",MEDIAN('06_Posicion_Core'!D32:P32))</x:f>
      </x:c>
      <x:c r="W32" s="26" t="str">
        <x:f>IF(V32="","NR",IF(V32&lt;=25,"E1 Fundamentos",IF(V32&lt;=50,"E2 Fundamentos de ingeniería",IF(V32&lt;=75,"E3 Formación profesional","E4 Integración/especialización"))))</x:f>
        <x:v>NR</x:v>
      </x:c>
      <x:c r="X32" s="26" t="str">
        <x:f>IF(COUNT('07_Profundidad_Core'!D32:P32)=0,"",MEDIAN('07_Profundidad_Core'!D32:P32))</x:f>
      </x:c>
      <x:c r="Y32" s="26" t="str">
        <x:f>IF(X32="","NR",IF(X32=INT(X32),"N"&amp;TEXT(X32,"0"),"N"&amp;TEXT(INT(X32),"0")&amp;"–N"&amp;TEXT(INT(X32)+1,"0")))</x:f>
        <x:v>NR</x:v>
      </x:c>
      <x:c r="Z32" s="32"/>
      <x:c r="AA32" s="32"/>
      <x:c r="AB32" s="26" t="str">
        <x:f>IF(M32&gt;=0.75,"Universal / núcleo",IF(M32&gt;=0.5,"Consolidada",IF(M32&gt;=0.25,"Selectiva","Baja prevalencia")))</x:f>
        <x:v>Baja prevalencia</x:v>
      </x:c>
      <x:c r="AC32" s="26" t="str">
        <x:v>No</x:v>
      </x:c>
      <x:c r="AD32" s="26" t="str">
        <x:f>IF(AND(AC32="Sí",L32&gt;=2,M32&lt;0.5,V32&gt;=45),"Emergente en grado",IF(AND(AC32="Sí",L32&lt;=1,Q32&gt;=2),"Emergente desde nivel avanzado",IF(AND(M32&lt;0.25,L32&gt;=1),"Nicho / especialización","")))</x:f>
      </x:c>
      <x:c r="AE32" s="26" t="str"/>
      <x:c r="AF32" s="26" t="str"/>
      <x:c r="AG32" s="26" t="str">
        <x:f>IF(AND(AB32="Universal / núcleo",AE32="Alta"),"Muy alta",IF(AND(OR(AD32="Emergente en grado",AD32="Emergente desde nivel avanzado"),AE32="Alta"),"Muy alta",IF(OR(AB32="Universal / núcleo",AB32="Consolidada",AE32="Alta"),"Alta",IF(OR(AD32&lt;&gt;"",AE32="Media"),"Media","Baja"))))</x:f>
        <x:v>Baja</x:v>
      </x:c>
      <x:c r="AH32" s="26" t="str">
        <x:v>Comparar con la malla EPN Agro antes de decidir mantener/reforzar/integrar/añadir.</x:v>
      </x:c>
    </x:row>
    <x:row r="33">
      <x:c r="A33" s="26" t="str">
        <x:v>A05</x:v>
      </x:c>
      <x:c r="B33" s="26" t="str">
        <x:v>Ingeniería de Procesos y Operaciones Unitarias</x:v>
      </x:c>
      <x:c r="C33" s="26" t="str">
        <x:v>S13</x:v>
      </x:c>
      <x:c r="D33" s="26" t="str">
        <x:v>Fundamentos de proceso</x:v>
      </x:c>
      <x:c r="E33" s="26" t="str">
        <x:v>F0502</x:v>
      </x:c>
      <x:c r="F33" s="26" t="str">
        <x:v>Operaciones unitarias generales</x:v>
      </x:c>
      <x:c r="G33" s="26" t="str">
        <x:v>Operaciones unitarias/básicas integradas.</x:v>
      </x:c>
      <x:c r="H33" s="26" t="n">
        <x:f>COUNTIF('04_Presencia_Curriculos'!D33:X33,"&gt;0")</x:f>
        <x:v>12</x:v>
      </x:c>
      <x:c r="I33" s="32" t="n">
        <x:f>H33/'01_Metodologia'!$F$4</x:f>
        <x:v>0.5714285714285714</x:v>
      </x:c>
      <x:c r="J33" s="26" t="n">
        <x:f>COUNTIF('04_Presencia_Curriculos'!D33:Q33,"&gt;0")</x:f>
        <x:v>11</x:v>
      </x:c>
      <x:c r="K33" s="32" t="n">
        <x:f>J33/'01_Metodologia'!$F$5</x:f>
        <x:v>0.7857142857142857</x:v>
      </x:c>
      <x:c r="L33" s="26" t="n">
        <x:f>COUNTIF('04_Presencia_Curriculos'!D33:P33,"&gt;0")</x:f>
        <x:v>11</x:v>
      </x:c>
      <x:c r="M33" s="32" t="n">
        <x:f>L33/'01_Metodologia'!$F$6</x:f>
        <x:v>0.8461538461538461</x:v>
      </x:c>
      <x:c r="N33" s="26" t="n">
        <x:f>COUNTIF('04_Presencia_Curriculos'!D33:P33,2)</x:f>
        <x:v>11</x:v>
      </x:c>
      <x:c r="O33" s="32" t="n">
        <x:f>N33/'01_Metodologia'!$F$6</x:f>
        <x:v>0.8461538461538461</x:v>
      </x:c>
      <x:c r="P33" s="26" t="n">
        <x:f>COUNTIF('04_Presencia_Curriculos'!D33:P33,1)</x:f>
        <x:v>0</x:v>
      </x:c>
      <x:c r="Q33" s="26" t="n">
        <x:f>COUNTIF('04_Presencia_Curriculos'!R33:X33,"&gt;0")</x:f>
        <x:v>1</x:v>
      </x:c>
      <x:c r="R33" s="32" t="n">
        <x:f>Q33/'01_Metodologia'!$F$7</x:f>
        <x:v>0.14285714285714285</x:v>
      </x:c>
      <x:c r="S33" s="36" t="n">
        <x:v>6.583333333333333</x:v>
      </x:c>
      <x:c r="T33" s="32" t="n">
        <x:f>AVERAGE('05_Peso_Creditos_Core'!D33:O33)</x:f>
        <x:v>0.03263888888888889</x:v>
      </x:c>
      <x:c r="U33" s="32" t="n">
        <x:f>MEDIAN('05_Peso_Creditos_Core'!D33:O33)</x:f>
        <x:v>0.03333333333333333</x:v>
      </x:c>
      <x:c r="V33" s="34" t="n">
        <x:f>IF(COUNT('06_Posicion_Core'!D33:P33)=0,"",MEDIAN('06_Posicion_Core'!D33:P33))</x:f>
        <x:v>56.25</x:v>
      </x:c>
      <x:c r="W33" s="26" t="str">
        <x:f>IF(V33="","NR",IF(V33&lt;=25,"E1 Fundamentos",IF(V33&lt;=50,"E2 Fundamentos de ingeniería",IF(V33&lt;=75,"E3 Formación profesional","E4 Integración/especialización"))))</x:f>
        <x:v>E3 Formación profesional</x:v>
      </x:c>
      <x:c r="X33" s="26" t="n">
        <x:f>IF(COUNT('07_Profundidad_Core'!D33:P33)=0,"",MEDIAN('07_Profundidad_Core'!D33:P33))</x:f>
        <x:v>2</x:v>
      </x:c>
      <x:c r="Y33" s="26" t="str">
        <x:f>IF(X33="","NR",IF(X33=INT(X33),"N"&amp;TEXT(X33,"0"),"N"&amp;TEXT(INT(X33),"0")&amp;"–N"&amp;TEXT(INT(X33)+1,"0")))</x:f>
        <x:v>N2</x:v>
      </x:c>
      <x:c r="Z33" s="32" t="n">
        <x:v>0</x:v>
      </x:c>
      <x:c r="AA33" s="32" t="n">
        <x:v>0.09090909090909091</x:v>
      </x:c>
      <x:c r="AB33" s="26" t="str">
        <x:f>IF(M33&gt;=0.75,"Universal / núcleo",IF(M33&gt;=0.5,"Consolidada",IF(M33&gt;=0.25,"Selectiva","Baja prevalencia")))</x:f>
        <x:v>Universal / núcleo</x:v>
      </x:c>
      <x:c r="AC33" s="26" t="str">
        <x:v>No</x:v>
      </x:c>
      <x:c r="AD33" s="26" t="str">
        <x:f>IF(AND(AC33="Sí",L33&gt;=2,M33&lt;0.5,V33&gt;=45),"Emergente en grado",IF(AND(AC33="Sí",L33&lt;=1,Q33&gt;=2),"Emergente desde nivel avanzado",IF(AND(M33&lt;0.25,L33&gt;=1),"Nicho / especialización","")))</x:f>
      </x:c>
      <x:c r="AE33" s="26" t="str">
        <x:v>Alta</x:v>
      </x:c>
      <x:c r="AF33" s="26" t="str">
        <x:v>Optimización de procesos</x:v>
      </x:c>
      <x:c r="AG33" s="26" t="str">
        <x:f>IF(AND(AB33="Universal / núcleo",AE33="Alta"),"Muy alta",IF(AND(OR(AD33="Emergente en grado",AD33="Emergente desde nivel avanzado"),AE33="Alta"),"Muy alta",IF(OR(AB33="Universal / núcleo",AB33="Consolidada",AE33="Alta"),"Alta",IF(OR(AD33&lt;&gt;"",AE33="Media"),"Media","Baja"))))</x:f>
        <x:v>Muy alta</x:v>
      </x:c>
      <x:c r="AH33" s="26" t="str">
        <x:v>Comparar con la malla EPN Agro antes de decidir mantener/reforzar/integrar/añadir.</x:v>
      </x:c>
    </x:row>
    <x:row r="34">
      <x:c r="A34" s="26" t="str">
        <x:v>A05</x:v>
      </x:c>
      <x:c r="B34" s="26" t="str">
        <x:v>Ingeniería de Procesos y Operaciones Unitarias</x:v>
      </x:c>
      <x:c r="C34" s="26" t="str">
        <x:v>S14</x:v>
      </x:c>
      <x:c r="D34" s="26" t="str">
        <x:v>Procesos térmicos</x:v>
      </x:c>
      <x:c r="E34" s="26" t="str">
        <x:v>F0503</x:v>
      </x:c>
      <x:c r="F34" s="26" t="str">
        <x:v>Tratamientos térmicos y esterilización</x:v>
      </x:c>
      <x:c r="G34" s="26" t="str">
        <x:v>Pasteurización, esterilización y procesos térmicos.</x:v>
      </x:c>
      <x:c r="H34" s="26" t="n">
        <x:f>COUNTIF('04_Presencia_Curriculos'!D34:X34,"&gt;0")</x:f>
        <x:v>1</x:v>
      </x:c>
      <x:c r="I34" s="32" t="n">
        <x:f>H34/'01_Metodologia'!$F$4</x:f>
        <x:v>0.047619047619047616</x:v>
      </x:c>
      <x:c r="J34" s="26" t="n">
        <x:f>COUNTIF('04_Presencia_Curriculos'!D34:Q34,"&gt;0")</x:f>
        <x:v>0</x:v>
      </x:c>
      <x:c r="K34" s="32" t="n">
        <x:f>J34/'01_Metodologia'!$F$5</x:f>
        <x:v>0</x:v>
      </x:c>
      <x:c r="L34" s="26" t="n">
        <x:f>COUNTIF('04_Presencia_Curriculos'!D34:P34,"&gt;0")</x:f>
        <x:v>0</x:v>
      </x:c>
      <x:c r="M34" s="32" t="n">
        <x:f>L34/'01_Metodologia'!$F$6</x:f>
        <x:v>0</x:v>
      </x:c>
      <x:c r="N34" s="26" t="n">
        <x:f>COUNTIF('04_Presencia_Curriculos'!D34:P34,2)</x:f>
        <x:v>0</x:v>
      </x:c>
      <x:c r="O34" s="32" t="n">
        <x:f>N34/'01_Metodologia'!$F$6</x:f>
        <x:v>0</x:v>
      </x:c>
      <x:c r="P34" s="26" t="n">
        <x:f>COUNTIF('04_Presencia_Curriculos'!D34:P34,1)</x:f>
        <x:v>0</x:v>
      </x:c>
      <x:c r="Q34" s="26" t="n">
        <x:f>COUNTIF('04_Presencia_Curriculos'!R34:X34,"&gt;0")</x:f>
        <x:v>1</x:v>
      </x:c>
      <x:c r="R34" s="32" t="n">
        <x:f>Q34/'01_Metodologia'!$F$7</x:f>
        <x:v>0.14285714285714285</x:v>
      </x:c>
      <x:c r="S34" s="36" t="n">
        <x:v>0</x:v>
      </x:c>
      <x:c r="T34" s="32" t="n">
        <x:f>AVERAGE('05_Peso_Creditos_Core'!D34:O34)</x:f>
        <x:v>0</x:v>
      </x:c>
      <x:c r="U34" s="32" t="n">
        <x:f>MEDIAN('05_Peso_Creditos_Core'!D34:O34)</x:f>
        <x:v>0</x:v>
      </x:c>
      <x:c r="V34" s="34" t="str">
        <x:f>IF(COUNT('06_Posicion_Core'!D34:P34)=0,"",MEDIAN('06_Posicion_Core'!D34:P34))</x:f>
      </x:c>
      <x:c r="W34" s="26" t="str">
        <x:f>IF(V34="","NR",IF(V34&lt;=25,"E1 Fundamentos",IF(V34&lt;=50,"E2 Fundamentos de ingeniería",IF(V34&lt;=75,"E3 Formación profesional","E4 Integración/especialización"))))</x:f>
        <x:v>NR</x:v>
      </x:c>
      <x:c r="X34" s="26" t="str">
        <x:f>IF(COUNT('07_Profundidad_Core'!D34:P34)=0,"",MEDIAN('07_Profundidad_Core'!D34:P34))</x:f>
      </x:c>
      <x:c r="Y34" s="26" t="str">
        <x:f>IF(X34="","NR",IF(X34=INT(X34),"N"&amp;TEXT(X34,"0"),"N"&amp;TEXT(INT(X34),"0")&amp;"–N"&amp;TEXT(INT(X34)+1,"0")))</x:f>
        <x:v>NR</x:v>
      </x:c>
      <x:c r="Z34" s="32"/>
      <x:c r="AA34" s="32"/>
      <x:c r="AB34" s="26" t="str">
        <x:f>IF(M34&gt;=0.75,"Universal / núcleo",IF(M34&gt;=0.5,"Consolidada",IF(M34&gt;=0.25,"Selectiva","Baja prevalencia")))</x:f>
        <x:v>Baja prevalencia</x:v>
      </x:c>
      <x:c r="AC34" s="26" t="str">
        <x:v>No</x:v>
      </x:c>
      <x:c r="AD34" s="26" t="str">
        <x:f>IF(AND(AC34="Sí",L34&gt;=2,M34&lt;0.5,V34&gt;=45),"Emergente en grado",IF(AND(AC34="Sí",L34&lt;=1,Q34&gt;=2),"Emergente desde nivel avanzado",IF(AND(M34&lt;0.25,L34&gt;=1),"Nicho / especialización","")))</x:f>
      </x:c>
      <x:c r="AE34" s="26" t="str"/>
      <x:c r="AF34" s="26" t="str"/>
      <x:c r="AG34" s="26" t="str">
        <x:f>IF(AND(AB34="Universal / núcleo",AE34="Alta"),"Muy alta",IF(AND(OR(AD34="Emergente en grado",AD34="Emergente desde nivel avanzado"),AE34="Alta"),"Muy alta",IF(OR(AB34="Universal / núcleo",AB34="Consolidada",AE34="Alta"),"Alta",IF(OR(AD34&lt;&gt;"",AE34="Media"),"Media","Baja"))))</x:f>
        <x:v>Baja</x:v>
      </x:c>
      <x:c r="AH34" s="26" t="str">
        <x:v>Comparar con la malla EPN Agro antes de decidir mantener/reforzar/integrar/añadir.</x:v>
      </x:c>
    </x:row>
    <x:row r="35">
      <x:c r="A35" s="26" t="str">
        <x:v>A05</x:v>
      </x:c>
      <x:c r="B35" s="26" t="str">
        <x:v>Ingeniería de Procesos y Operaciones Unitarias</x:v>
      </x:c>
      <x:c r="C35" s="26" t="str">
        <x:v>S14</x:v>
      </x:c>
      <x:c r="D35" s="26" t="str">
        <x:v>Procesos térmicos</x:v>
      </x:c>
      <x:c r="E35" s="26" t="str">
        <x:v>F0504</x:v>
      </x:c>
      <x:c r="F35" s="26" t="str">
        <x:v>Refrigeración, congelación y cadena de frío</x:v>
      </x:c>
      <x:c r="G35" s="26" t="str">
        <x:v>Frío, refrigeración y congelación.</x:v>
      </x:c>
      <x:c r="H35" s="26" t="n">
        <x:f>COUNTIF('04_Presencia_Curriculos'!D35:X35,"&gt;0")</x:f>
        <x:v>3</x:v>
      </x:c>
      <x:c r="I35" s="32" t="n">
        <x:f>H35/'01_Metodologia'!$F$4</x:f>
        <x:v>0.14285714285714285</x:v>
      </x:c>
      <x:c r="J35" s="26" t="n">
        <x:f>COUNTIF('04_Presencia_Curriculos'!D35:Q35,"&gt;0")</x:f>
        <x:v>2</x:v>
      </x:c>
      <x:c r="K35" s="32" t="n">
        <x:f>J35/'01_Metodologia'!$F$5</x:f>
        <x:v>0.14285714285714285</x:v>
      </x:c>
      <x:c r="L35" s="26" t="n">
        <x:f>COUNTIF('04_Presencia_Curriculos'!D35:P35,"&gt;0")</x:f>
        <x:v>2</x:v>
      </x:c>
      <x:c r="M35" s="32" t="n">
        <x:f>L35/'01_Metodologia'!$F$6</x:f>
        <x:v>0.15384615384615385</x:v>
      </x:c>
      <x:c r="N35" s="26" t="n">
        <x:f>COUNTIF('04_Presencia_Curriculos'!D35:P35,2)</x:f>
        <x:v>2</x:v>
      </x:c>
      <x:c r="O35" s="32" t="n">
        <x:f>N35/'01_Metodologia'!$F$6</x:f>
        <x:v>0.15384615384615385</x:v>
      </x:c>
      <x:c r="P35" s="26" t="n">
        <x:f>COUNTIF('04_Presencia_Curriculos'!D35:P35,1)</x:f>
        <x:v>0</x:v>
      </x:c>
      <x:c r="Q35" s="26" t="n">
        <x:f>COUNTIF('04_Presencia_Curriculos'!R35:X35,"&gt;0")</x:f>
        <x:v>1</x:v>
      </x:c>
      <x:c r="R35" s="32" t="n">
        <x:f>Q35/'01_Metodologia'!$F$7</x:f>
        <x:v>0.14285714285714285</x:v>
      </x:c>
      <x:c r="S35" s="36" t="n">
        <x:v>0.3333333333333333</x:v>
      </x:c>
      <x:c r="T35" s="32" t="n">
        <x:f>AVERAGE('05_Peso_Creditos_Core'!D35:O35)</x:f>
        <x:v>0.001388888888888889</x:v>
      </x:c>
      <x:c r="U35" s="32" t="n">
        <x:f>MEDIAN('05_Peso_Creditos_Core'!D35:O35)</x:f>
        <x:v>0</x:v>
      </x:c>
      <x:c r="V35" s="34" t="n">
        <x:f>IF(COUNT('06_Posicion_Core'!D35:P35)=0,"",MEDIAN('06_Posicion_Core'!D35:P35))</x:f>
        <x:v>81.25</x:v>
      </x:c>
      <x:c r="W35" s="26" t="str">
        <x:f>IF(V35="","NR",IF(V35&lt;=25,"E1 Fundamentos",IF(V35&lt;=50,"E2 Fundamentos de ingeniería",IF(V35&lt;=75,"E3 Formación profesional","E4 Integración/especialización"))))</x:f>
        <x:v>E4 Integración/especialización</x:v>
      </x:c>
      <x:c r="X35" s="26" t="n">
        <x:f>IF(COUNT('07_Profundidad_Core'!D35:P35)=0,"",MEDIAN('07_Profundidad_Core'!D35:P35))</x:f>
        <x:v>2</x:v>
      </x:c>
      <x:c r="Y35" s="26" t="str">
        <x:f>IF(X35="","NR",IF(X35=INT(X35),"N"&amp;TEXT(X35,"0"),"N"&amp;TEXT(INT(X35),"0")&amp;"–N"&amp;TEXT(INT(X35)+1,"0")))</x:f>
        <x:v>N2</x:v>
      </x:c>
      <x:c r="Z35" s="32" t="n">
        <x:v>0</x:v>
      </x:c>
      <x:c r="AA35" s="32" t="n">
        <x:v>0</x:v>
      </x:c>
      <x:c r="AB35" s="26" t="str">
        <x:f>IF(M35&gt;=0.75,"Universal / núcleo",IF(M35&gt;=0.5,"Consolidada",IF(M35&gt;=0.25,"Selectiva","Baja prevalencia")))</x:f>
        <x:v>Baja prevalencia</x:v>
      </x:c>
      <x:c r="AC35" s="26" t="str">
        <x:v>No</x:v>
      </x:c>
      <x:c r="AD35" s="26" t="str">
        <x:f>IF(AND(AC35="Sí",L35&gt;=2,M35&lt;0.5,V35&gt;=45),"Emergente en grado",IF(AND(AC35="Sí",L35&lt;=1,Q35&gt;=2),"Emergente desde nivel avanzado",IF(AND(M35&lt;0.25,L35&gt;=1),"Nicho / especialización","")))</x:f>
        <x:v>Nicho / especialización</x:v>
      </x:c>
      <x:c r="AE35" s="26" t="str"/>
      <x:c r="AF35" s="26" t="str"/>
      <x:c r="AG35" s="26" t="str">
        <x:f>IF(AND(AB35="Universal / núcleo",AE35="Alta"),"Muy alta",IF(AND(OR(AD35="Emergente en grado",AD35="Emergente desde nivel avanzado"),AE35="Alta"),"Muy alta",IF(OR(AB35="Universal / núcleo",AB35="Consolidada",AE35="Alta"),"Alta",IF(OR(AD35&lt;&gt;"",AE35="Media"),"Media","Baja"))))</x:f>
        <x:v>Media</x:v>
      </x:c>
      <x:c r="AH35" s="26" t="str">
        <x:v>Comparar con la malla EPN Agro antes de decidir mantener/reforzar/integrar/añadir.</x:v>
      </x:c>
    </x:row>
    <x:row r="36">
      <x:c r="A36" s="26" t="str">
        <x:v>A05</x:v>
      </x:c>
      <x:c r="B36" s="26" t="str">
        <x:v>Ingeniería de Procesos y Operaciones Unitarias</x:v>
      </x:c>
      <x:c r="C36" s="26" t="str">
        <x:v>S14</x:v>
      </x:c>
      <x:c r="D36" s="26" t="str">
        <x:v>Procesos térmicos</x:v>
      </x:c>
      <x:c r="E36" s="26" t="str">
        <x:v>F0505</x:v>
      </x:c>
      <x:c r="F36" s="26" t="str">
        <x:v>Secado y deshidratación</x:v>
      </x:c>
      <x:c r="G36" s="26" t="str">
        <x:v>Secado, deshidratación y actividad de agua como operación.</x:v>
      </x:c>
      <x:c r="H36" s="26" t="n">
        <x:f>COUNTIF('04_Presencia_Curriculos'!D36:X36,"&gt;0")</x:f>
        <x:v>1</x:v>
      </x:c>
      <x:c r="I36" s="32" t="n">
        <x:f>H36/'01_Metodologia'!$F$4</x:f>
        <x:v>0.047619047619047616</x:v>
      </x:c>
      <x:c r="J36" s="26" t="n">
        <x:f>COUNTIF('04_Presencia_Curriculos'!D36:Q36,"&gt;0")</x:f>
        <x:v>0</x:v>
      </x:c>
      <x:c r="K36" s="32" t="n">
        <x:f>J36/'01_Metodologia'!$F$5</x:f>
        <x:v>0</x:v>
      </x:c>
      <x:c r="L36" s="26" t="n">
        <x:f>COUNTIF('04_Presencia_Curriculos'!D36:P36,"&gt;0")</x:f>
        <x:v>0</x:v>
      </x:c>
      <x:c r="M36" s="32" t="n">
        <x:f>L36/'01_Metodologia'!$F$6</x:f>
        <x:v>0</x:v>
      </x:c>
      <x:c r="N36" s="26" t="n">
        <x:f>COUNTIF('04_Presencia_Curriculos'!D36:P36,2)</x:f>
        <x:v>0</x:v>
      </x:c>
      <x:c r="O36" s="32" t="n">
        <x:f>N36/'01_Metodologia'!$F$6</x:f>
        <x:v>0</x:v>
      </x:c>
      <x:c r="P36" s="26" t="n">
        <x:f>COUNTIF('04_Presencia_Curriculos'!D36:P36,1)</x:f>
        <x:v>0</x:v>
      </x:c>
      <x:c r="Q36" s="26" t="n">
        <x:f>COUNTIF('04_Presencia_Curriculos'!R36:X36,"&gt;0")</x:f>
        <x:v>1</x:v>
      </x:c>
      <x:c r="R36" s="32" t="n">
        <x:f>Q36/'01_Metodologia'!$F$7</x:f>
        <x:v>0.14285714285714285</x:v>
      </x:c>
      <x:c r="S36" s="36" t="n">
        <x:v>0</x:v>
      </x:c>
      <x:c r="T36" s="32" t="n">
        <x:f>AVERAGE('05_Peso_Creditos_Core'!D36:O36)</x:f>
        <x:v>0</x:v>
      </x:c>
      <x:c r="U36" s="32" t="n">
        <x:f>MEDIAN('05_Peso_Creditos_Core'!D36:O36)</x:f>
        <x:v>0</x:v>
      </x:c>
      <x:c r="V36" s="34" t="str">
        <x:f>IF(COUNT('06_Posicion_Core'!D36:P36)=0,"",MEDIAN('06_Posicion_Core'!D36:P36))</x:f>
      </x:c>
      <x:c r="W36" s="26" t="str">
        <x:f>IF(V36="","NR",IF(V36&lt;=25,"E1 Fundamentos",IF(V36&lt;=50,"E2 Fundamentos de ingeniería",IF(V36&lt;=75,"E3 Formación profesional","E4 Integración/especialización"))))</x:f>
        <x:v>NR</x:v>
      </x:c>
      <x:c r="X36" s="26" t="str">
        <x:f>IF(COUNT('07_Profundidad_Core'!D36:P36)=0,"",MEDIAN('07_Profundidad_Core'!D36:P36))</x:f>
      </x:c>
      <x:c r="Y36" s="26" t="str">
        <x:f>IF(X36="","NR",IF(X36=INT(X36),"N"&amp;TEXT(X36,"0"),"N"&amp;TEXT(INT(X36),"0")&amp;"–N"&amp;TEXT(INT(X36)+1,"0")))</x:f>
        <x:v>NR</x:v>
      </x:c>
      <x:c r="Z36" s="32"/>
      <x:c r="AA36" s="32"/>
      <x:c r="AB36" s="26" t="str">
        <x:f>IF(M36&gt;=0.75,"Universal / núcleo",IF(M36&gt;=0.5,"Consolidada",IF(M36&gt;=0.25,"Selectiva","Baja prevalencia")))</x:f>
        <x:v>Baja prevalencia</x:v>
      </x:c>
      <x:c r="AC36" s="26" t="str">
        <x:v>No</x:v>
      </x:c>
      <x:c r="AD36" s="26" t="str">
        <x:f>IF(AND(AC36="Sí",L36&gt;=2,M36&lt;0.5,V36&gt;=45),"Emergente en grado",IF(AND(AC36="Sí",L36&lt;=1,Q36&gt;=2),"Emergente desde nivel avanzado",IF(AND(M36&lt;0.25,L36&gt;=1),"Nicho / especialización","")))</x:f>
      </x:c>
      <x:c r="AE36" s="26" t="str"/>
      <x:c r="AF36" s="26" t="str"/>
      <x:c r="AG36" s="26" t="str">
        <x:f>IF(AND(AB36="Universal / núcleo",AE36="Alta"),"Muy alta",IF(AND(OR(AD36="Emergente en grado",AD36="Emergente desde nivel avanzado"),AE36="Alta"),"Muy alta",IF(OR(AB36="Universal / núcleo",AB36="Consolidada",AE36="Alta"),"Alta",IF(OR(AD36&lt;&gt;"",AE36="Media"),"Media","Baja"))))</x:f>
        <x:v>Baja</x:v>
      </x:c>
      <x:c r="AH36" s="26" t="str">
        <x:v>Comparar con la malla EPN Agro antes de decidir mantener/reforzar/integrar/añadir.</x:v>
      </x:c>
    </x:row>
    <x:row r="37">
      <x:c r="A37" s="26" t="str">
        <x:v>A05</x:v>
      </x:c>
      <x:c r="B37" s="26" t="str">
        <x:v>Ingeniería de Procesos y Operaciones Unitarias</x:v>
      </x:c>
      <x:c r="C37" s="26" t="str">
        <x:v>S15</x:v>
      </x:c>
      <x:c r="D37" s="26" t="str">
        <x:v>Separaciones</x:v>
      </x:c>
      <x:c r="E37" s="26" t="str">
        <x:v>F0506</x:v>
      </x:c>
      <x:c r="F37" s="26" t="str">
        <x:v>Evaporación y concentración</x:v>
      </x:c>
      <x:c r="G37" s="26" t="str">
        <x:v>Evaporación y concentración.</x:v>
      </x:c>
      <x:c r="H37" s="26" t="n">
        <x:f>COUNTIF('04_Presencia_Curriculos'!D37:X37,"&gt;0")</x:f>
        <x:v>0</x:v>
      </x:c>
      <x:c r="I37" s="32" t="n">
        <x:f>H37/'01_Metodologia'!$F$4</x:f>
        <x:v>0</x:v>
      </x:c>
      <x:c r="J37" s="26" t="n">
        <x:f>COUNTIF('04_Presencia_Curriculos'!D37:Q37,"&gt;0")</x:f>
        <x:v>0</x:v>
      </x:c>
      <x:c r="K37" s="32" t="n">
        <x:f>J37/'01_Metodologia'!$F$5</x:f>
        <x:v>0</x:v>
      </x:c>
      <x:c r="L37" s="26" t="n">
        <x:f>COUNTIF('04_Presencia_Curriculos'!D37:P37,"&gt;0")</x:f>
        <x:v>0</x:v>
      </x:c>
      <x:c r="M37" s="32" t="n">
        <x:f>L37/'01_Metodologia'!$F$6</x:f>
        <x:v>0</x:v>
      </x:c>
      <x:c r="N37" s="26" t="n">
        <x:f>COUNTIF('04_Presencia_Curriculos'!D37:P37,2)</x:f>
        <x:v>0</x:v>
      </x:c>
      <x:c r="O37" s="32" t="n">
        <x:f>N37/'01_Metodologia'!$F$6</x:f>
        <x:v>0</x:v>
      </x:c>
      <x:c r="P37" s="26" t="n">
        <x:f>COUNTIF('04_Presencia_Curriculos'!D37:P37,1)</x:f>
        <x:v>0</x:v>
      </x:c>
      <x:c r="Q37" s="26" t="n">
        <x:f>COUNTIF('04_Presencia_Curriculos'!R37:X37,"&gt;0")</x:f>
        <x:v>0</x:v>
      </x:c>
      <x:c r="R37" s="32" t="n">
        <x:f>Q37/'01_Metodologia'!$F$7</x:f>
        <x:v>0</x:v>
      </x:c>
      <x:c r="S37" s="36" t="n">
        <x:v>0</x:v>
      </x:c>
      <x:c r="T37" s="32" t="n">
        <x:f>AVERAGE('05_Peso_Creditos_Core'!D37:O37)</x:f>
        <x:v>0</x:v>
      </x:c>
      <x:c r="U37" s="32" t="n">
        <x:f>MEDIAN('05_Peso_Creditos_Core'!D37:O37)</x:f>
        <x:v>0</x:v>
      </x:c>
      <x:c r="V37" s="34" t="str">
        <x:f>IF(COUNT('06_Posicion_Core'!D37:P37)=0,"",MEDIAN('06_Posicion_Core'!D37:P37))</x:f>
      </x:c>
      <x:c r="W37" s="26" t="str">
        <x:f>IF(V37="","NR",IF(V37&lt;=25,"E1 Fundamentos",IF(V37&lt;=50,"E2 Fundamentos de ingeniería",IF(V37&lt;=75,"E3 Formación profesional","E4 Integración/especialización"))))</x:f>
        <x:v>NR</x:v>
      </x:c>
      <x:c r="X37" s="26" t="str">
        <x:f>IF(COUNT('07_Profundidad_Core'!D37:P37)=0,"",MEDIAN('07_Profundidad_Core'!D37:P37))</x:f>
      </x:c>
      <x:c r="Y37" s="26" t="str">
        <x:f>IF(X37="","NR",IF(X37=INT(X37),"N"&amp;TEXT(X37,"0"),"N"&amp;TEXT(INT(X37),"0")&amp;"–N"&amp;TEXT(INT(X37)+1,"0")))</x:f>
        <x:v>NR</x:v>
      </x:c>
      <x:c r="Z37" s="32"/>
      <x:c r="AA37" s="32"/>
      <x:c r="AB37" s="26" t="str">
        <x:f>IF(M37&gt;=0.75,"Universal / núcleo",IF(M37&gt;=0.5,"Consolidada",IF(M37&gt;=0.25,"Selectiva","Baja prevalencia")))</x:f>
        <x:v>Baja prevalencia</x:v>
      </x:c>
      <x:c r="AC37" s="26" t="str">
        <x:v>No</x:v>
      </x:c>
      <x:c r="AD37" s="26" t="str">
        <x:f>IF(AND(AC37="Sí",L37&gt;=2,M37&lt;0.5,V37&gt;=45),"Emergente en grado",IF(AND(AC37="Sí",L37&lt;=1,Q37&gt;=2),"Emergente desde nivel avanzado",IF(AND(M37&lt;0.25,L37&gt;=1),"Nicho / especialización","")))</x:f>
      </x:c>
      <x:c r="AE37" s="26" t="str"/>
      <x:c r="AF37" s="26" t="str"/>
      <x:c r="AG37" s="26" t="str">
        <x:f>IF(AND(AB37="Universal / núcleo",AE37="Alta"),"Muy alta",IF(AND(OR(AD37="Emergente en grado",AD37="Emergente desde nivel avanzado"),AE37="Alta"),"Muy alta",IF(OR(AB37="Universal / núcleo",AB37="Consolidada",AE37="Alta"),"Alta",IF(OR(AD37&lt;&gt;"",AE37="Media"),"Media","Baja"))))</x:f>
        <x:v>Baja</x:v>
      </x:c>
      <x:c r="AH37" s="26" t="str">
        <x:v>Comparar con la malla EPN Agro antes de decidir mantener/reforzar/integrar/añadir.</x:v>
      </x:c>
    </x:row>
    <x:row r="38">
      <x:c r="A38" s="26" t="str">
        <x:v>A05</x:v>
      </x:c>
      <x:c r="B38" s="26" t="str">
        <x:v>Ingeniería de Procesos y Operaciones Unitarias</x:v>
      </x:c>
      <x:c r="C38" s="26" t="str">
        <x:v>S15</x:v>
      </x:c>
      <x:c r="D38" s="26" t="str">
        <x:v>Separaciones</x:v>
      </x:c>
      <x:c r="E38" s="26" t="str">
        <x:v>F0507</x:v>
      </x:c>
      <x:c r="F38" s="26" t="str">
        <x:v>Destilación, extracción y absorción</x:v>
      </x:c>
      <x:c r="G38" s="26" t="str">
        <x:v>Separaciones por equilibrio y extracción.</x:v>
      </x:c>
      <x:c r="H38" s="26" t="n">
        <x:f>COUNTIF('04_Presencia_Curriculos'!D38:X38,"&gt;0")</x:f>
        <x:v>0</x:v>
      </x:c>
      <x:c r="I38" s="32" t="n">
        <x:f>H38/'01_Metodologia'!$F$4</x:f>
        <x:v>0</x:v>
      </x:c>
      <x:c r="J38" s="26" t="n">
        <x:f>COUNTIF('04_Presencia_Curriculos'!D38:Q38,"&gt;0")</x:f>
        <x:v>0</x:v>
      </x:c>
      <x:c r="K38" s="32" t="n">
        <x:f>J38/'01_Metodologia'!$F$5</x:f>
        <x:v>0</x:v>
      </x:c>
      <x:c r="L38" s="26" t="n">
        <x:f>COUNTIF('04_Presencia_Curriculos'!D38:P38,"&gt;0")</x:f>
        <x:v>0</x:v>
      </x:c>
      <x:c r="M38" s="32" t="n">
        <x:f>L38/'01_Metodologia'!$F$6</x:f>
        <x:v>0</x:v>
      </x:c>
      <x:c r="N38" s="26" t="n">
        <x:f>COUNTIF('04_Presencia_Curriculos'!D38:P38,2)</x:f>
        <x:v>0</x:v>
      </x:c>
      <x:c r="O38" s="32" t="n">
        <x:f>N38/'01_Metodologia'!$F$6</x:f>
        <x:v>0</x:v>
      </x:c>
      <x:c r="P38" s="26" t="n">
        <x:f>COUNTIF('04_Presencia_Curriculos'!D38:P38,1)</x:f>
        <x:v>0</x:v>
      </x:c>
      <x:c r="Q38" s="26" t="n">
        <x:f>COUNTIF('04_Presencia_Curriculos'!R38:X38,"&gt;0")</x:f>
        <x:v>0</x:v>
      </x:c>
      <x:c r="R38" s="32" t="n">
        <x:f>Q38/'01_Metodologia'!$F$7</x:f>
        <x:v>0</x:v>
      </x:c>
      <x:c r="S38" s="36" t="n">
        <x:v>0</x:v>
      </x:c>
      <x:c r="T38" s="32" t="n">
        <x:f>AVERAGE('05_Peso_Creditos_Core'!D38:O38)</x:f>
        <x:v>0</x:v>
      </x:c>
      <x:c r="U38" s="32" t="n">
        <x:f>MEDIAN('05_Peso_Creditos_Core'!D38:O38)</x:f>
        <x:v>0</x:v>
      </x:c>
      <x:c r="V38" s="34" t="str">
        <x:f>IF(COUNT('06_Posicion_Core'!D38:P38)=0,"",MEDIAN('06_Posicion_Core'!D38:P38))</x:f>
      </x:c>
      <x:c r="W38" s="26" t="str">
        <x:f>IF(V38="","NR",IF(V38&lt;=25,"E1 Fundamentos",IF(V38&lt;=50,"E2 Fundamentos de ingeniería",IF(V38&lt;=75,"E3 Formación profesional","E4 Integración/especialización"))))</x:f>
        <x:v>NR</x:v>
      </x:c>
      <x:c r="X38" s="26" t="str">
        <x:f>IF(COUNT('07_Profundidad_Core'!D38:P38)=0,"",MEDIAN('07_Profundidad_Core'!D38:P38))</x:f>
      </x:c>
      <x:c r="Y38" s="26" t="str">
        <x:f>IF(X38="","NR",IF(X38=INT(X38),"N"&amp;TEXT(X38,"0"),"N"&amp;TEXT(INT(X38),"0")&amp;"–N"&amp;TEXT(INT(X38)+1,"0")))</x:f>
        <x:v>NR</x:v>
      </x:c>
      <x:c r="Z38" s="32"/>
      <x:c r="AA38" s="32"/>
      <x:c r="AB38" s="26" t="str">
        <x:f>IF(M38&gt;=0.75,"Universal / núcleo",IF(M38&gt;=0.5,"Consolidada",IF(M38&gt;=0.25,"Selectiva","Baja prevalencia")))</x:f>
        <x:v>Baja prevalencia</x:v>
      </x:c>
      <x:c r="AC38" s="26" t="str">
        <x:v>No</x:v>
      </x:c>
      <x:c r="AD38" s="26" t="str">
        <x:f>IF(AND(AC38="Sí",L38&gt;=2,M38&lt;0.5,V38&gt;=45),"Emergente en grado",IF(AND(AC38="Sí",L38&lt;=1,Q38&gt;=2),"Emergente desde nivel avanzado",IF(AND(M38&lt;0.25,L38&gt;=1),"Nicho / especialización","")))</x:f>
      </x:c>
      <x:c r="AE38" s="26" t="str"/>
      <x:c r="AF38" s="26" t="str"/>
      <x:c r="AG38" s="26" t="str">
        <x:f>IF(AND(AB38="Universal / núcleo",AE38="Alta"),"Muy alta",IF(AND(OR(AD38="Emergente en grado",AD38="Emergente desde nivel avanzado"),AE38="Alta"),"Muy alta",IF(OR(AB38="Universal / núcleo",AB38="Consolidada",AE38="Alta"),"Alta",IF(OR(AD38&lt;&gt;"",AE38="Media"),"Media","Baja"))))</x:f>
        <x:v>Baja</x:v>
      </x:c>
      <x:c r="AH38" s="26" t="str">
        <x:v>Comparar con la malla EPN Agro antes de decidir mantener/reforzar/integrar/añadir.</x:v>
      </x:c>
    </x:row>
    <x:row r="39">
      <x:c r="A39" s="26" t="str">
        <x:v>A05</x:v>
      </x:c>
      <x:c r="B39" s="26" t="str">
        <x:v>Ingeniería de Procesos y Operaciones Unitarias</x:v>
      </x:c>
      <x:c r="C39" s="26" t="str">
        <x:v>S15</x:v>
      </x:c>
      <x:c r="D39" s="26" t="str">
        <x:v>Separaciones</x:v>
      </x:c>
      <x:c r="E39" s="26" t="str">
        <x:v>F0508</x:v>
      </x:c>
      <x:c r="F39" s="26" t="str">
        <x:v>Membranas y separaciones avanzadas</x:v>
      </x:c>
      <x:c r="G39" s="26" t="str">
        <x:v>UF/NF/RO y membranas.</x:v>
      </x:c>
      <x:c r="H39" s="26" t="n">
        <x:f>COUNTIF('04_Presencia_Curriculos'!D39:X39,"&gt;0")</x:f>
        <x:v>0</x:v>
      </x:c>
      <x:c r="I39" s="32" t="n">
        <x:f>H39/'01_Metodologia'!$F$4</x:f>
        <x:v>0</x:v>
      </x:c>
      <x:c r="J39" s="26" t="n">
        <x:f>COUNTIF('04_Presencia_Curriculos'!D39:Q39,"&gt;0")</x:f>
        <x:v>0</x:v>
      </x:c>
      <x:c r="K39" s="32" t="n">
        <x:f>J39/'01_Metodologia'!$F$5</x:f>
        <x:v>0</x:v>
      </x:c>
      <x:c r="L39" s="26" t="n">
        <x:f>COUNTIF('04_Presencia_Curriculos'!D39:P39,"&gt;0")</x:f>
        <x:v>0</x:v>
      </x:c>
      <x:c r="M39" s="32" t="n">
        <x:f>L39/'01_Metodologia'!$F$6</x:f>
        <x:v>0</x:v>
      </x:c>
      <x:c r="N39" s="26" t="n">
        <x:f>COUNTIF('04_Presencia_Curriculos'!D39:P39,2)</x:f>
        <x:v>0</x:v>
      </x:c>
      <x:c r="O39" s="32" t="n">
        <x:f>N39/'01_Metodologia'!$F$6</x:f>
        <x:v>0</x:v>
      </x:c>
      <x:c r="P39" s="26" t="n">
        <x:f>COUNTIF('04_Presencia_Curriculos'!D39:P39,1)</x:f>
        <x:v>0</x:v>
      </x:c>
      <x:c r="Q39" s="26" t="n">
        <x:f>COUNTIF('04_Presencia_Curriculos'!R39:X39,"&gt;0")</x:f>
        <x:v>0</x:v>
      </x:c>
      <x:c r="R39" s="32" t="n">
        <x:f>Q39/'01_Metodologia'!$F$7</x:f>
        <x:v>0</x:v>
      </x:c>
      <x:c r="S39" s="36" t="n">
        <x:v>0</x:v>
      </x:c>
      <x:c r="T39" s="32" t="n">
        <x:f>AVERAGE('05_Peso_Creditos_Core'!D39:O39)</x:f>
        <x:v>0</x:v>
      </x:c>
      <x:c r="U39" s="32" t="n">
        <x:f>MEDIAN('05_Peso_Creditos_Core'!D39:O39)</x:f>
        <x:v>0</x:v>
      </x:c>
      <x:c r="V39" s="34" t="str">
        <x:f>IF(COUNT('06_Posicion_Core'!D39:P39)=0,"",MEDIAN('06_Posicion_Core'!D39:P39))</x:f>
      </x:c>
      <x:c r="W39" s="26" t="str">
        <x:f>IF(V39="","NR",IF(V39&lt;=25,"E1 Fundamentos",IF(V39&lt;=50,"E2 Fundamentos de ingeniería",IF(V39&lt;=75,"E3 Formación profesional","E4 Integración/especialización"))))</x:f>
        <x:v>NR</x:v>
      </x:c>
      <x:c r="X39" s="26" t="str">
        <x:f>IF(COUNT('07_Profundidad_Core'!D39:P39)=0,"",MEDIAN('07_Profundidad_Core'!D39:P39))</x:f>
      </x:c>
      <x:c r="Y39" s="26" t="str">
        <x:f>IF(X39="","NR",IF(X39=INT(X39),"N"&amp;TEXT(X39,"0"),"N"&amp;TEXT(INT(X39),"0")&amp;"–N"&amp;TEXT(INT(X39)+1,"0")))</x:f>
        <x:v>NR</x:v>
      </x:c>
      <x:c r="Z39" s="32"/>
      <x:c r="AA39" s="32"/>
      <x:c r="AB39" s="26" t="str">
        <x:f>IF(M39&gt;=0.75,"Universal / núcleo",IF(M39&gt;=0.5,"Consolidada",IF(M39&gt;=0.25,"Selectiva","Baja prevalencia")))</x:f>
        <x:v>Baja prevalencia</x:v>
      </x:c>
      <x:c r="AC39" s="26" t="str">
        <x:v>No</x:v>
      </x:c>
      <x:c r="AD39" s="26" t="str">
        <x:f>IF(AND(AC39="Sí",L39&gt;=2,M39&lt;0.5,V39&gt;=45),"Emergente en grado",IF(AND(AC39="Sí",L39&lt;=1,Q39&gt;=2),"Emergente desde nivel avanzado",IF(AND(M39&lt;0.25,L39&gt;=1),"Nicho / especialización","")))</x:f>
      </x:c>
      <x:c r="AE39" s="26" t="str"/>
      <x:c r="AF39" s="26" t="str"/>
      <x:c r="AG39" s="26" t="str">
        <x:f>IF(AND(AB39="Universal / núcleo",AE39="Alta"),"Muy alta",IF(AND(OR(AD39="Emergente en grado",AD39="Emergente desde nivel avanzado"),AE39="Alta"),"Muy alta",IF(OR(AB39="Universal / núcleo",AB39="Consolidada",AE39="Alta"),"Alta",IF(OR(AD39&lt;&gt;"",AE39="Media"),"Media","Baja"))))</x:f>
        <x:v>Baja</x:v>
      </x:c>
      <x:c r="AH39" s="26" t="str">
        <x:v>Comparar con la malla EPN Agro antes de decidir mantener/reforzar/integrar/añadir.</x:v>
      </x:c>
    </x:row>
    <x:row r="40">
      <x:c r="A40" s="26" t="str">
        <x:v>A05</x:v>
      </x:c>
      <x:c r="B40" s="26" t="str">
        <x:v>Ingeniería de Procesos y Operaciones Unitarias</x:v>
      </x:c>
      <x:c r="C40" s="26" t="str">
        <x:v>S16</x:v>
      </x:c>
      <x:c r="D40" s="26" t="str">
        <x:v>Reacción</x:v>
      </x:c>
      <x:c r="E40" s="26" t="str">
        <x:v>F0509</x:v>
      </x:c>
      <x:c r="F40" s="26" t="str">
        <x:v>Ingeniería de reactores y cinética</x:v>
      </x:c>
      <x:c r="G40" s="26" t="str">
        <x:v>Cinética y reactores.</x:v>
      </x:c>
      <x:c r="H40" s="26" t="n">
        <x:f>COUNTIF('04_Presencia_Curriculos'!D40:X40,"&gt;0")</x:f>
        <x:v>1</x:v>
      </x:c>
      <x:c r="I40" s="32" t="n">
        <x:f>H40/'01_Metodologia'!$F$4</x:f>
        <x:v>0.047619047619047616</x:v>
      </x:c>
      <x:c r="J40" s="26" t="n">
        <x:f>COUNTIF('04_Presencia_Curriculos'!D40:Q40,"&gt;0")</x:f>
        <x:v>0</x:v>
      </x:c>
      <x:c r="K40" s="32" t="n">
        <x:f>J40/'01_Metodologia'!$F$5</x:f>
        <x:v>0</x:v>
      </x:c>
      <x:c r="L40" s="26" t="n">
        <x:f>COUNTIF('04_Presencia_Curriculos'!D40:P40,"&gt;0")</x:f>
        <x:v>0</x:v>
      </x:c>
      <x:c r="M40" s="32" t="n">
        <x:f>L40/'01_Metodologia'!$F$6</x:f>
        <x:v>0</x:v>
      </x:c>
      <x:c r="N40" s="26" t="n">
        <x:f>COUNTIF('04_Presencia_Curriculos'!D40:P40,2)</x:f>
        <x:v>0</x:v>
      </x:c>
      <x:c r="O40" s="32" t="n">
        <x:f>N40/'01_Metodologia'!$F$6</x:f>
        <x:v>0</x:v>
      </x:c>
      <x:c r="P40" s="26" t="n">
        <x:f>COUNTIF('04_Presencia_Curriculos'!D40:P40,1)</x:f>
        <x:v>0</x:v>
      </x:c>
      <x:c r="Q40" s="26" t="n">
        <x:f>COUNTIF('04_Presencia_Curriculos'!R40:X40,"&gt;0")</x:f>
        <x:v>1</x:v>
      </x:c>
      <x:c r="R40" s="32" t="n">
        <x:f>Q40/'01_Metodologia'!$F$7</x:f>
        <x:v>0.14285714285714285</x:v>
      </x:c>
      <x:c r="S40" s="36" t="n">
        <x:v>0</x:v>
      </x:c>
      <x:c r="T40" s="32" t="n">
        <x:f>AVERAGE('05_Peso_Creditos_Core'!D40:O40)</x:f>
        <x:v>0</x:v>
      </x:c>
      <x:c r="U40" s="32" t="n">
        <x:f>MEDIAN('05_Peso_Creditos_Core'!D40:O40)</x:f>
        <x:v>0</x:v>
      </x:c>
      <x:c r="V40" s="34" t="str">
        <x:f>IF(COUNT('06_Posicion_Core'!D40:P40)=0,"",MEDIAN('06_Posicion_Core'!D40:P40))</x:f>
      </x:c>
      <x:c r="W40" s="26" t="str">
        <x:f>IF(V40="","NR",IF(V40&lt;=25,"E1 Fundamentos",IF(V40&lt;=50,"E2 Fundamentos de ingeniería",IF(V40&lt;=75,"E3 Formación profesional","E4 Integración/especialización"))))</x:f>
        <x:v>NR</x:v>
      </x:c>
      <x:c r="X40" s="26" t="str">
        <x:f>IF(COUNT('07_Profundidad_Core'!D40:P40)=0,"",MEDIAN('07_Profundidad_Core'!D40:P40))</x:f>
      </x:c>
      <x:c r="Y40" s="26" t="str">
        <x:f>IF(X40="","NR",IF(X40=INT(X40),"N"&amp;TEXT(X40,"0"),"N"&amp;TEXT(INT(X40),"0")&amp;"–N"&amp;TEXT(INT(X40)+1,"0")))</x:f>
        <x:v>NR</x:v>
      </x:c>
      <x:c r="Z40" s="32"/>
      <x:c r="AA40" s="32"/>
      <x:c r="AB40" s="26" t="str">
        <x:f>IF(M40&gt;=0.75,"Universal / núcleo",IF(M40&gt;=0.5,"Consolidada",IF(M40&gt;=0.25,"Selectiva","Baja prevalencia")))</x:f>
        <x:v>Baja prevalencia</x:v>
      </x:c>
      <x:c r="AC40" s="26" t="str">
        <x:v>No</x:v>
      </x:c>
      <x:c r="AD40" s="26" t="str">
        <x:f>IF(AND(AC40="Sí",L40&gt;=2,M40&lt;0.5,V40&gt;=45),"Emergente en grado",IF(AND(AC40="Sí",L40&lt;=1,Q40&gt;=2),"Emergente desde nivel avanzado",IF(AND(M40&lt;0.25,L40&gt;=1),"Nicho / especialización","")))</x:f>
      </x:c>
      <x:c r="AE40" s="26" t="str"/>
      <x:c r="AF40" s="26" t="str"/>
      <x:c r="AG40" s="26" t="str">
        <x:f>IF(AND(AB40="Universal / núcleo",AE40="Alta"),"Muy alta",IF(AND(OR(AD40="Emergente en grado",AD40="Emergente desde nivel avanzado"),AE40="Alta"),"Muy alta",IF(OR(AB40="Universal / núcleo",AB40="Consolidada",AE40="Alta"),"Alta",IF(OR(AD40&lt;&gt;"",AE40="Media"),"Media","Baja"))))</x:f>
        <x:v>Baja</x:v>
      </x:c>
      <x:c r="AH40" s="26" t="str">
        <x:v>Comparar con la malla EPN Agro antes de decidir mantener/reforzar/integrar/añadir.</x:v>
      </x:c>
    </x:row>
    <x:row r="41">
      <x:c r="A41" s="26" t="str">
        <x:v>A05</x:v>
      </x:c>
      <x:c r="B41" s="26" t="str">
        <x:v>Ingeniería de Procesos y Operaciones Unitarias</x:v>
      </x:c>
      <x:c r="C41" s="26" t="str">
        <x:v>S17</x:v>
      </x:c>
      <x:c r="D41" s="26" t="str">
        <x:v>Diseño de proceso</x:v>
      </x:c>
      <x:c r="E41" s="26" t="str">
        <x:v>F0510</x:v>
      </x:c>
      <x:c r="F41" s="26" t="str">
        <x:v>Modelización, simulación y optimización de procesos</x:v>
      </x:c>
      <x:c r="G41" s="26" t="str">
        <x:v>Modelos, simulación, integración y optimización.</x:v>
      </x:c>
      <x:c r="H41" s="26" t="n">
        <x:f>COUNTIF('04_Presencia_Curriculos'!D41:X41,"&gt;0")</x:f>
        <x:v>0</x:v>
      </x:c>
      <x:c r="I41" s="32" t="n">
        <x:f>H41/'01_Metodologia'!$F$4</x:f>
        <x:v>0</x:v>
      </x:c>
      <x:c r="J41" s="26" t="n">
        <x:f>COUNTIF('04_Presencia_Curriculos'!D41:Q41,"&gt;0")</x:f>
        <x:v>0</x:v>
      </x:c>
      <x:c r="K41" s="32" t="n">
        <x:f>J41/'01_Metodologia'!$F$5</x:f>
        <x:v>0</x:v>
      </x:c>
      <x:c r="L41" s="26" t="n">
        <x:f>COUNTIF('04_Presencia_Curriculos'!D41:P41,"&gt;0")</x:f>
        <x:v>0</x:v>
      </x:c>
      <x:c r="M41" s="32" t="n">
        <x:f>L41/'01_Metodologia'!$F$6</x:f>
        <x:v>0</x:v>
      </x:c>
      <x:c r="N41" s="26" t="n">
        <x:f>COUNTIF('04_Presencia_Curriculos'!D41:P41,2)</x:f>
        <x:v>0</x:v>
      </x:c>
      <x:c r="O41" s="32" t="n">
        <x:f>N41/'01_Metodologia'!$F$6</x:f>
        <x:v>0</x:v>
      </x:c>
      <x:c r="P41" s="26" t="n">
        <x:f>COUNTIF('04_Presencia_Curriculos'!D41:P41,1)</x:f>
        <x:v>0</x:v>
      </x:c>
      <x:c r="Q41" s="26" t="n">
        <x:f>COUNTIF('04_Presencia_Curriculos'!R41:X41,"&gt;0")</x:f>
        <x:v>0</x:v>
      </x:c>
      <x:c r="R41" s="32" t="n">
        <x:f>Q41/'01_Metodologia'!$F$7</x:f>
        <x:v>0</x:v>
      </x:c>
      <x:c r="S41" s="36" t="n">
        <x:v>0</x:v>
      </x:c>
      <x:c r="T41" s="32" t="n">
        <x:f>AVERAGE('05_Peso_Creditos_Core'!D41:O41)</x:f>
        <x:v>0</x:v>
      </x:c>
      <x:c r="U41" s="32" t="n">
        <x:f>MEDIAN('05_Peso_Creditos_Core'!D41:O41)</x:f>
        <x:v>0</x:v>
      </x:c>
      <x:c r="V41" s="34" t="str">
        <x:f>IF(COUNT('06_Posicion_Core'!D41:P41)=0,"",MEDIAN('06_Posicion_Core'!D41:P41))</x:f>
      </x:c>
      <x:c r="W41" s="26" t="str">
        <x:f>IF(V41="","NR",IF(V41&lt;=25,"E1 Fundamentos",IF(V41&lt;=50,"E2 Fundamentos de ingeniería",IF(V41&lt;=75,"E3 Formación profesional","E4 Integración/especialización"))))</x:f>
        <x:v>NR</x:v>
      </x:c>
      <x:c r="X41" s="26" t="str">
        <x:f>IF(COUNT('07_Profundidad_Core'!D41:P41)=0,"",MEDIAN('07_Profundidad_Core'!D41:P41))</x:f>
      </x:c>
      <x:c r="Y41" s="26" t="str">
        <x:f>IF(X41="","NR",IF(X41=INT(X41),"N"&amp;TEXT(X41,"0"),"N"&amp;TEXT(INT(X41),"0")&amp;"–N"&amp;TEXT(INT(X41)+1,"0")))</x:f>
        <x:v>NR</x:v>
      </x:c>
      <x:c r="Z41" s="32"/>
      <x:c r="AA41" s="32"/>
      <x:c r="AB41" s="26" t="str">
        <x:f>IF(M41&gt;=0.75,"Universal / núcleo",IF(M41&gt;=0.5,"Consolidada",IF(M41&gt;=0.25,"Selectiva","Baja prevalencia")))</x:f>
        <x:v>Baja prevalencia</x:v>
      </x:c>
      <x:c r="AC41" s="26" t="str">
        <x:v>No</x:v>
      </x:c>
      <x:c r="AD41" s="26" t="str">
        <x:f>IF(AND(AC41="Sí",L41&gt;=2,M41&lt;0.5,V41&gt;=45),"Emergente en grado",IF(AND(AC41="Sí",L41&lt;=1,Q41&gt;=2),"Emergente desde nivel avanzado",IF(AND(M41&lt;0.25,L41&gt;=1),"Nicho / especialización","")))</x:f>
      </x:c>
      <x:c r="AE41" s="26" t="str">
        <x:v>Alta</x:v>
      </x:c>
      <x:c r="AF41" s="26" t="str">
        <x:v>Datos, programación e IA; Optimización de procesos</x:v>
      </x:c>
      <x:c r="AG41" s="26" t="str">
        <x:f>IF(AND(AB41="Universal / núcleo",AE41="Alta"),"Muy alta",IF(AND(OR(AD41="Emergente en grado",AD41="Emergente desde nivel avanzado"),AE41="Alta"),"Muy alta",IF(OR(AB41="Universal / núcleo",AB41="Consolidada",AE41="Alta"),"Alta",IF(OR(AD41&lt;&gt;"",AE41="Media"),"Media","Baja"))))</x:f>
        <x:v>Alta</x:v>
      </x:c>
      <x:c r="AH41" s="26" t="str">
        <x:v>Comparar con la malla EPN Agro antes de decidir mantener/reforzar/integrar/añadir.</x:v>
      </x:c>
    </x:row>
    <x:row r="42">
      <x:c r="A42" s="26" t="str">
        <x:v>A06</x:v>
      </x:c>
      <x:c r="B42" s="26" t="str">
        <x:v>Ciencia y Tecnología General de Alimentos</x:v>
      </x:c>
      <x:c r="C42" s="26" t="str">
        <x:v>S18</x:v>
      </x:c>
      <x:c r="D42" s="26" t="str">
        <x:v>Ciencia de alimentos</x:v>
      </x:c>
      <x:c r="E42" s="26" t="str">
        <x:v>F0601</x:v>
      </x:c>
      <x:c r="F42" s="26" t="str">
        <x:v>Química y bioquímica de alimentos</x:v>
      </x:c>
      <x:c r="G42" s="26" t="str">
        <x:v>Composición y transformaciones específicas.</x:v>
      </x:c>
      <x:c r="H42" s="26" t="n">
        <x:f>COUNTIF('04_Presencia_Curriculos'!D42:X42,"&gt;0")</x:f>
        <x:v>7</x:v>
      </x:c>
      <x:c r="I42" s="32" t="n">
        <x:f>H42/'01_Metodologia'!$F$4</x:f>
        <x:v>0.3333333333333333</x:v>
      </x:c>
      <x:c r="J42" s="26" t="n">
        <x:f>COUNTIF('04_Presencia_Curriculos'!D42:Q42,"&gt;0")</x:f>
        <x:v>7</x:v>
      </x:c>
      <x:c r="K42" s="32" t="n">
        <x:f>J42/'01_Metodologia'!$F$5</x:f>
        <x:v>0.5</x:v>
      </x:c>
      <x:c r="L42" s="26" t="n">
        <x:f>COUNTIF('04_Presencia_Curriculos'!D42:P42,"&gt;0")</x:f>
        <x:v>7</x:v>
      </x:c>
      <x:c r="M42" s="32" t="n">
        <x:f>L42/'01_Metodologia'!$F$6</x:f>
        <x:v>0.5384615384615384</x:v>
      </x:c>
      <x:c r="N42" s="26" t="n">
        <x:f>COUNTIF('04_Presencia_Curriculos'!D42:P42,2)</x:f>
        <x:v>7</x:v>
      </x:c>
      <x:c r="O42" s="32" t="n">
        <x:f>N42/'01_Metodologia'!$F$6</x:f>
        <x:v>0.5384615384615384</x:v>
      </x:c>
      <x:c r="P42" s="26" t="n">
        <x:f>COUNTIF('04_Presencia_Curriculos'!D42:P42,1)</x:f>
        <x:v>0</x:v>
      </x:c>
      <x:c r="Q42" s="26" t="n">
        <x:f>COUNTIF('04_Presencia_Curriculos'!R42:X42,"&gt;0")</x:f>
        <x:v>0</x:v>
      </x:c>
      <x:c r="R42" s="32" t="n">
        <x:f>Q42/'01_Metodologia'!$F$7</x:f>
        <x:v>0</x:v>
      </x:c>
      <x:c r="S42" s="36" t="n">
        <x:v>4</x:v>
      </x:c>
      <x:c r="T42" s="32" t="n">
        <x:f>AVERAGE('05_Peso_Creditos_Core'!D42:O42)</x:f>
        <x:v>0.02152777777777778</x:v>
      </x:c>
      <x:c r="U42" s="32" t="n">
        <x:f>MEDIAN('05_Peso_Creditos_Core'!D42:O42)</x:f>
        <x:v>0.02638888888888889</x:v>
      </x:c>
      <x:c r="V42" s="34" t="n">
        <x:f>IF(COUNT('06_Posicion_Core'!D42:P42)=0,"",MEDIAN('06_Posicion_Core'!D42:P42))</x:f>
        <x:v>41.66666666666667</x:v>
      </x:c>
      <x:c r="W42" s="26" t="str">
        <x:f>IF(V42="","NR",IF(V42&lt;=25,"E1 Fundamentos",IF(V42&lt;=50,"E2 Fundamentos de ingeniería",IF(V42&lt;=75,"E3 Formación profesional","E4 Integración/especialización"))))</x:f>
        <x:v>E2 Fundamentos de ingeniería</x:v>
      </x:c>
      <x:c r="X42" s="26" t="n">
        <x:f>IF(COUNT('07_Profundidad_Core'!D42:P42)=0,"",MEDIAN('07_Profundidad_Core'!D42:P42))</x:f>
        <x:v>2</x:v>
      </x:c>
      <x:c r="Y42" s="26" t="str">
        <x:f>IF(X42="","NR",IF(X42=INT(X42),"N"&amp;TEXT(X42,"0"),"N"&amp;TEXT(INT(X42),"0")&amp;"–N"&amp;TEXT(INT(X42)+1,"0")))</x:f>
        <x:v>N2</x:v>
      </x:c>
      <x:c r="Z42" s="32" t="n">
        <x:v>0.14285714285714285</x:v>
      </x:c>
      <x:c r="AA42" s="32" t="n">
        <x:v>0</x:v>
      </x:c>
      <x:c r="AB42" s="26" t="str">
        <x:f>IF(M42&gt;=0.75,"Universal / núcleo",IF(M42&gt;=0.5,"Consolidada",IF(M42&gt;=0.25,"Selectiva","Baja prevalencia")))</x:f>
        <x:v>Consolidada</x:v>
      </x:c>
      <x:c r="AC42" s="26" t="str">
        <x:v>No</x:v>
      </x:c>
      <x:c r="AD42" s="26" t="str">
        <x:f>IF(AND(AC42="Sí",L42&gt;=2,M42&lt;0.5,V42&gt;=45),"Emergente en grado",IF(AND(AC42="Sí",L42&lt;=1,Q42&gt;=2),"Emergente desde nivel avanzado",IF(AND(M42&lt;0.25,L42&gt;=1),"Nicho / especialización","")))</x:f>
      </x:c>
      <x:c r="AE42" s="26" t="str"/>
      <x:c r="AF42" s="26" t="str"/>
      <x:c r="AG42" s="26" t="str">
        <x:f>IF(AND(AB42="Universal / núcleo",AE42="Alta"),"Muy alta",IF(AND(OR(AD42="Emergente en grado",AD42="Emergente desde nivel avanzado"),AE42="Alta"),"Muy alta",IF(OR(AB42="Universal / núcleo",AB42="Consolidada",AE42="Alta"),"Alta",IF(OR(AD42&lt;&gt;"",AE42="Media"),"Media","Baja"))))</x:f>
        <x:v>Alta</x:v>
      </x:c>
      <x:c r="AH42" s="26" t="str">
        <x:v>Comparar con la malla EPN Agro antes de decidir mantener/reforzar/integrar/añadir.</x:v>
      </x:c>
    </x:row>
    <x:row r="43">
      <x:c r="A43" s="26" t="str">
        <x:v>A06</x:v>
      </x:c>
      <x:c r="B43" s="26" t="str">
        <x:v>Ciencia y Tecnología General de Alimentos</x:v>
      </x:c>
      <x:c r="C43" s="26" t="str">
        <x:v>S18</x:v>
      </x:c>
      <x:c r="D43" s="26" t="str">
        <x:v>Ciencia de alimentos</x:v>
      </x:c>
      <x:c r="E43" s="26" t="str">
        <x:v>F0602</x:v>
      </x:c>
      <x:c r="F43" s="26" t="str">
        <x:v>Física, reología y estructura de alimentos</x:v>
      </x:c>
      <x:c r="G43" s="26" t="str">
        <x:v>Propiedades físicas, reología, coloides y estructura.</x:v>
      </x:c>
      <x:c r="H43" s="26" t="n">
        <x:f>COUNTIF('04_Presencia_Curriculos'!D43:X43,"&gt;0")</x:f>
        <x:v>5</x:v>
      </x:c>
      <x:c r="I43" s="32" t="n">
        <x:f>H43/'01_Metodologia'!$F$4</x:f>
        <x:v>0.23809523809523808</x:v>
      </x:c>
      <x:c r="J43" s="26" t="n">
        <x:f>COUNTIF('04_Presencia_Curriculos'!D43:Q43,"&gt;0")</x:f>
        <x:v>4</x:v>
      </x:c>
      <x:c r="K43" s="32" t="n">
        <x:f>J43/'01_Metodologia'!$F$5</x:f>
        <x:v>0.2857142857142857</x:v>
      </x:c>
      <x:c r="L43" s="26" t="n">
        <x:f>COUNTIF('04_Presencia_Curriculos'!D43:P43,"&gt;0")</x:f>
        <x:v>4</x:v>
      </x:c>
      <x:c r="M43" s="32" t="n">
        <x:f>L43/'01_Metodologia'!$F$6</x:f>
        <x:v>0.3076923076923077</x:v>
      </x:c>
      <x:c r="N43" s="26" t="n">
        <x:f>COUNTIF('04_Presencia_Curriculos'!D43:P43,2)</x:f>
        <x:v>3</x:v>
      </x:c>
      <x:c r="O43" s="32" t="n">
        <x:f>N43/'01_Metodologia'!$F$6</x:f>
        <x:v>0.23076923076923078</x:v>
      </x:c>
      <x:c r="P43" s="26" t="n">
        <x:f>COUNTIF('04_Presencia_Curriculos'!D43:P43,1)</x:f>
        <x:v>1</x:v>
      </x:c>
      <x:c r="Q43" s="26" t="n">
        <x:f>COUNTIF('04_Presencia_Curriculos'!R43:X43,"&gt;0")</x:f>
        <x:v>1</x:v>
      </x:c>
      <x:c r="R43" s="32" t="n">
        <x:f>Q43/'01_Metodologia'!$F$7</x:f>
        <x:v>0.14285714285714285</x:v>
      </x:c>
      <x:c r="S43" s="36" t="n">
        <x:v>0.8333333333333334</x:v>
      </x:c>
      <x:c r="T43" s="32" t="n">
        <x:f>AVERAGE('05_Peso_Creditos_Core'!D43:O43)</x:f>
        <x:v>0.004629629629629629</x:v>
      </x:c>
      <x:c r="U43" s="32" t="n">
        <x:f>MEDIAN('05_Peso_Creditos_Core'!D43:O43)</x:f>
        <x:v>0</x:v>
      </x:c>
      <x:c r="V43" s="34" t="n">
        <x:f>IF(COUNT('06_Posicion_Core'!D43:P43)=0,"",MEDIAN('06_Posicion_Core'!D43:P43))</x:f>
        <x:v>58.333333333333336</x:v>
      </x:c>
      <x:c r="W43" s="26" t="str">
        <x:f>IF(V43="","NR",IF(V43&lt;=25,"E1 Fundamentos",IF(V43&lt;=50,"E2 Fundamentos de ingeniería",IF(V43&lt;=75,"E3 Formación profesional","E4 Integración/especialización"))))</x:f>
        <x:v>E3 Formación profesional</x:v>
      </x:c>
      <x:c r="X43" s="26" t="n">
        <x:f>IF(COUNT('07_Profundidad_Core'!D43:P43)=0,"",MEDIAN('07_Profundidad_Core'!D43:P43))</x:f>
        <x:v>2</x:v>
      </x:c>
      <x:c r="Y43" s="26" t="str">
        <x:f>IF(X43="","NR",IF(X43=INT(X43),"N"&amp;TEXT(X43,"0"),"N"&amp;TEXT(INT(X43),"0")&amp;"–N"&amp;TEXT(INT(X43)+1,"0")))</x:f>
        <x:v>N2</x:v>
      </x:c>
      <x:c r="Z43" s="32" t="n">
        <x:v>0.25</x:v>
      </x:c>
      <x:c r="AA43" s="32" t="n">
        <x:v>0</x:v>
      </x:c>
      <x:c r="AB43" s="26" t="str">
        <x:f>IF(M43&gt;=0.75,"Universal / núcleo",IF(M43&gt;=0.5,"Consolidada",IF(M43&gt;=0.25,"Selectiva","Baja prevalencia")))</x:f>
        <x:v>Selectiva</x:v>
      </x:c>
      <x:c r="AC43" s="26" t="str">
        <x:v>No</x:v>
      </x:c>
      <x:c r="AD43" s="26" t="str">
        <x:f>IF(AND(AC43="Sí",L43&gt;=2,M43&lt;0.5,V43&gt;=45),"Emergente en grado",IF(AND(AC43="Sí",L43&lt;=1,Q43&gt;=2),"Emergente desde nivel avanzado",IF(AND(M43&lt;0.25,L43&gt;=1),"Nicho / especialización","")))</x:f>
      </x:c>
      <x:c r="AE43" s="26" t="str"/>
      <x:c r="AF43" s="26" t="str"/>
      <x:c r="AG43" s="26" t="str">
        <x:f>IF(AND(AB43="Universal / núcleo",AE43="Alta"),"Muy alta",IF(AND(OR(AD43="Emergente en grado",AD43="Emergente desde nivel avanzado"),AE43="Alta"),"Muy alta",IF(OR(AB43="Universal / núcleo",AB43="Consolidada",AE43="Alta"),"Alta",IF(OR(AD43&lt;&gt;"",AE43="Media"),"Media","Baja"))))</x:f>
        <x:v>Baja</x:v>
      </x:c>
      <x:c r="AH43" s="26" t="str">
        <x:v>Comparar con la malla EPN Agro antes de decidir mantener/reforzar/integrar/añadir.</x:v>
      </x:c>
    </x:row>
    <x:row r="44">
      <x:c r="A44" s="26" t="str">
        <x:v>A06</x:v>
      </x:c>
      <x:c r="B44" s="26" t="str">
        <x:v>Ciencia y Tecnología General de Alimentos</x:v>
      </x:c>
      <x:c r="C44" s="26" t="str">
        <x:v>S18</x:v>
      </x:c>
      <x:c r="D44" s="26" t="str">
        <x:v>Ciencia de alimentos</x:v>
      </x:c>
      <x:c r="E44" s="26" t="str">
        <x:v>F0603</x:v>
      </x:c>
      <x:c r="F44" s="26" t="str">
        <x:v>Ingredientes y funcionalidad tecnológica</x:v>
      </x:c>
      <x:c r="G44" s="26" t="str">
        <x:v>Ingredientes, aditivos y funcionalidad.</x:v>
      </x:c>
      <x:c r="H44" s="26" t="n">
        <x:f>COUNTIF('04_Presencia_Curriculos'!D44:X44,"&gt;0")</x:f>
        <x:v>2</x:v>
      </x:c>
      <x:c r="I44" s="32" t="n">
        <x:f>H44/'01_Metodologia'!$F$4</x:f>
        <x:v>0.09523809523809523</x:v>
      </x:c>
      <x:c r="J44" s="26" t="n">
        <x:f>COUNTIF('04_Presencia_Curriculos'!D44:Q44,"&gt;0")</x:f>
        <x:v>2</x:v>
      </x:c>
      <x:c r="K44" s="32" t="n">
        <x:f>J44/'01_Metodologia'!$F$5</x:f>
        <x:v>0.14285714285714285</x:v>
      </x:c>
      <x:c r="L44" s="26" t="n">
        <x:f>COUNTIF('04_Presencia_Curriculos'!D44:P44,"&gt;0")</x:f>
        <x:v>2</x:v>
      </x:c>
      <x:c r="M44" s="32" t="n">
        <x:f>L44/'01_Metodologia'!$F$6</x:f>
        <x:v>0.15384615384615385</x:v>
      </x:c>
      <x:c r="N44" s="26" t="n">
        <x:f>COUNTIF('04_Presencia_Curriculos'!D44:P44,2)</x:f>
        <x:v>2</x:v>
      </x:c>
      <x:c r="O44" s="32" t="n">
        <x:f>N44/'01_Metodologia'!$F$6</x:f>
        <x:v>0.15384615384615385</x:v>
      </x:c>
      <x:c r="P44" s="26" t="n">
        <x:f>COUNTIF('04_Presencia_Curriculos'!D44:P44,1)</x:f>
        <x:v>0</x:v>
      </x:c>
      <x:c r="Q44" s="26" t="n">
        <x:f>COUNTIF('04_Presencia_Curriculos'!R44:X44,"&gt;0")</x:f>
        <x:v>0</x:v>
      </x:c>
      <x:c r="R44" s="32" t="n">
        <x:f>Q44/'01_Metodologia'!$F$7</x:f>
        <x:v>0</x:v>
      </x:c>
      <x:c r="S44" s="36" t="n">
        <x:v>0.6666666666666666</x:v>
      </x:c>
      <x:c r="T44" s="32" t="n">
        <x:f>AVERAGE('05_Peso_Creditos_Core'!D44:O44)</x:f>
        <x:v>0.0037037037037037034</x:v>
      </x:c>
      <x:c r="U44" s="32" t="n">
        <x:f>MEDIAN('05_Peso_Creditos_Core'!D44:O44)</x:f>
        <x:v>0</x:v>
      </x:c>
      <x:c r="V44" s="34" t="n">
        <x:f>IF(COUNT('06_Posicion_Core'!D44:P44)=0,"",MEDIAN('06_Posicion_Core'!D44:P44))</x:f>
        <x:v>41.66666666666667</x:v>
      </x:c>
      <x:c r="W44" s="26" t="str">
        <x:f>IF(V44="","NR",IF(V44&lt;=25,"E1 Fundamentos",IF(V44&lt;=50,"E2 Fundamentos de ingeniería",IF(V44&lt;=75,"E3 Formación profesional","E4 Integración/especialización"))))</x:f>
        <x:v>E2 Fundamentos de ingeniería</x:v>
      </x:c>
      <x:c r="X44" s="26" t="n">
        <x:f>IF(COUNT('07_Profundidad_Core'!D44:P44)=0,"",MEDIAN('07_Profundidad_Core'!D44:P44))</x:f>
        <x:v>2</x:v>
      </x:c>
      <x:c r="Y44" s="26" t="str">
        <x:f>IF(X44="","NR",IF(X44=INT(X44),"N"&amp;TEXT(X44,"0"),"N"&amp;TEXT(INT(X44),"0")&amp;"–N"&amp;TEXT(INT(X44)+1,"0")))</x:f>
        <x:v>N2</x:v>
      </x:c>
      <x:c r="Z44" s="32" t="n">
        <x:v>0</x:v>
      </x:c>
      <x:c r="AA44" s="32" t="n">
        <x:v>0</x:v>
      </x:c>
      <x:c r="AB44" s="26" t="str">
        <x:f>IF(M44&gt;=0.75,"Universal / núcleo",IF(M44&gt;=0.5,"Consolidada",IF(M44&gt;=0.25,"Selectiva","Baja prevalencia")))</x:f>
        <x:v>Baja prevalencia</x:v>
      </x:c>
      <x:c r="AC44" s="26" t="str">
        <x:v>No</x:v>
      </x:c>
      <x:c r="AD44" s="26" t="str">
        <x:f>IF(AND(AC44="Sí",L44&gt;=2,M44&lt;0.5,V44&gt;=45),"Emergente en grado",IF(AND(AC44="Sí",L44&lt;=1,Q44&gt;=2),"Emergente desde nivel avanzado",IF(AND(M44&lt;0.25,L44&gt;=1),"Nicho / especialización","")))</x:f>
        <x:v>Nicho / especialización</x:v>
      </x:c>
      <x:c r="AE44" s="26" t="str"/>
      <x:c r="AF44" s="26" t="str"/>
      <x:c r="AG44" s="26" t="str">
        <x:f>IF(AND(AB44="Universal / núcleo",AE44="Alta"),"Muy alta",IF(AND(OR(AD44="Emergente en grado",AD44="Emergente desde nivel avanzado"),AE44="Alta"),"Muy alta",IF(OR(AB44="Universal / núcleo",AB44="Consolidada",AE44="Alta"),"Alta",IF(OR(AD44&lt;&gt;"",AE44="Media"),"Media","Baja"))))</x:f>
        <x:v>Media</x:v>
      </x:c>
      <x:c r="AH44" s="26" t="str">
        <x:v>Comparar con la malla EPN Agro antes de decidir mantener/reforzar/integrar/añadir.</x:v>
      </x:c>
    </x:row>
    <x:row r="45">
      <x:c r="A45" s="26" t="str">
        <x:v>A06</x:v>
      </x:c>
      <x:c r="B45" s="26" t="str">
        <x:v>Ciencia y Tecnología General de Alimentos</x:v>
      </x:c>
      <x:c r="C45" s="26" t="str">
        <x:v>S19</x:v>
      </x:c>
      <x:c r="D45" s="26" t="str">
        <x:v>Procesamiento</x:v>
      </x:c>
      <x:c r="E45" s="26" t="str">
        <x:v>F0604</x:v>
      </x:c>
      <x:c r="F45" s="26" t="str">
        <x:v>Tecnología / procesamiento general de alimentos</x:v>
      </x:c>
      <x:c r="G45" s="26" t="str">
        <x:v>Tecnología y transformación general.</x:v>
      </x:c>
      <x:c r="H45" s="26" t="n">
        <x:f>COUNTIF('04_Presencia_Curriculos'!D45:X45,"&gt;0")</x:f>
        <x:v>10</x:v>
      </x:c>
      <x:c r="I45" s="32" t="n">
        <x:f>H45/'01_Metodologia'!$F$4</x:f>
        <x:v>0.47619047619047616</x:v>
      </x:c>
      <x:c r="J45" s="26" t="n">
        <x:f>COUNTIF('04_Presencia_Curriculos'!D45:Q45,"&gt;0")</x:f>
        <x:v>8</x:v>
      </x:c>
      <x:c r="K45" s="32" t="n">
        <x:f>J45/'01_Metodologia'!$F$5</x:f>
        <x:v>0.5714285714285714</x:v>
      </x:c>
      <x:c r="L45" s="26" t="n">
        <x:f>COUNTIF('04_Presencia_Curriculos'!D45:P45,"&gt;0")</x:f>
        <x:v>8</x:v>
      </x:c>
      <x:c r="M45" s="32" t="n">
        <x:f>L45/'01_Metodologia'!$F$6</x:f>
        <x:v>0.6153846153846154</x:v>
      </x:c>
      <x:c r="N45" s="26" t="n">
        <x:f>COUNTIF('04_Presencia_Curriculos'!D45:P45,2)</x:f>
        <x:v>8</x:v>
      </x:c>
      <x:c r="O45" s="32" t="n">
        <x:f>N45/'01_Metodologia'!$F$6</x:f>
        <x:v>0.6153846153846154</x:v>
      </x:c>
      <x:c r="P45" s="26" t="n">
        <x:f>COUNTIF('04_Presencia_Curriculos'!D45:P45,1)</x:f>
        <x:v>0</x:v>
      </x:c>
      <x:c r="Q45" s="26" t="n">
        <x:f>COUNTIF('04_Presencia_Curriculos'!R45:X45,"&gt;0")</x:f>
        <x:v>2</x:v>
      </x:c>
      <x:c r="R45" s="32" t="n">
        <x:f>Q45/'01_Metodologia'!$F$7</x:f>
        <x:v>0.2857142857142857</x:v>
      </x:c>
      <x:c r="S45" s="36" t="n">
        <x:v>8.25</x:v>
      </x:c>
      <x:c r="T45" s="32" t="n">
        <x:f>AVERAGE('05_Peso_Creditos_Core'!D45:O45)</x:f>
        <x:v>0.04374999999999999</x:v>
      </x:c>
      <x:c r="U45" s="32" t="n">
        <x:f>MEDIAN('05_Peso_Creditos_Core'!D45:O45)</x:f>
        <x:v>0.04166666666666667</x:v>
      </x:c>
      <x:c r="V45" s="34" t="n">
        <x:f>IF(COUNT('06_Posicion_Core'!D45:P45)=0,"",MEDIAN('06_Posicion_Core'!D45:P45))</x:f>
        <x:v>48.958333333333336</x:v>
      </x:c>
      <x:c r="W45" s="26" t="str">
        <x:f>IF(V45="","NR",IF(V45&lt;=25,"E1 Fundamentos",IF(V45&lt;=50,"E2 Fundamentos de ingeniería",IF(V45&lt;=75,"E3 Formación profesional","E4 Integración/especialización"))))</x:f>
        <x:v>E2 Fundamentos de ingeniería</x:v>
      </x:c>
      <x:c r="X45" s="26" t="n">
        <x:f>IF(COUNT('07_Profundidad_Core'!D45:P45)=0,"",MEDIAN('07_Profundidad_Core'!D45:P45))</x:f>
        <x:v>2</x:v>
      </x:c>
      <x:c r="Y45" s="26" t="str">
        <x:f>IF(X45="","NR",IF(X45=INT(X45),"N"&amp;TEXT(X45,"0"),"N"&amp;TEXT(INT(X45),"0")&amp;"–N"&amp;TEXT(INT(X45)+1,"0")))</x:f>
        <x:v>N2</x:v>
      </x:c>
      <x:c r="Z45" s="32" t="n">
        <x:v>0</x:v>
      </x:c>
      <x:c r="AA45" s="32" t="n">
        <x:v>0</x:v>
      </x:c>
      <x:c r="AB45" s="26" t="str">
        <x:f>IF(M45&gt;=0.75,"Universal / núcleo",IF(M45&gt;=0.5,"Consolidada",IF(M45&gt;=0.25,"Selectiva","Baja prevalencia")))</x:f>
        <x:v>Consolidada</x:v>
      </x:c>
      <x:c r="AC45" s="26" t="str">
        <x:v>No</x:v>
      </x:c>
      <x:c r="AD45" s="26" t="str">
        <x:f>IF(AND(AC45="Sí",L45&gt;=2,M45&lt;0.5,V45&gt;=45),"Emergente en grado",IF(AND(AC45="Sí",L45&lt;=1,Q45&gt;=2),"Emergente desde nivel avanzado",IF(AND(M45&lt;0.25,L45&gt;=1),"Nicho / especialización","")))</x:f>
      </x:c>
      <x:c r="AE45" s="26" t="str"/>
      <x:c r="AF45" s="26" t="str"/>
      <x:c r="AG45" s="26" t="str">
        <x:f>IF(AND(AB45="Universal / núcleo",AE45="Alta"),"Muy alta",IF(AND(OR(AD45="Emergente en grado",AD45="Emergente desde nivel avanzado"),AE45="Alta"),"Muy alta",IF(OR(AB45="Universal / núcleo",AB45="Consolidada",AE45="Alta"),"Alta",IF(OR(AD45&lt;&gt;"",AE45="Media"),"Media","Baja"))))</x:f>
        <x:v>Alta</x:v>
      </x:c>
      <x:c r="AH45" s="26" t="str">
        <x:v>Comparar con la malla EPN Agro antes de decidir mantener/reforzar/integrar/añadir.</x:v>
      </x:c>
    </x:row>
    <x:row r="46">
      <x:c r="A46" s="26" t="str">
        <x:v>A06</x:v>
      </x:c>
      <x:c r="B46" s="26" t="str">
        <x:v>Ciencia y Tecnología General de Alimentos</x:v>
      </x:c>
      <x:c r="C46" s="26" t="str">
        <x:v>S19</x:v>
      </x:c>
      <x:c r="D46" s="26" t="str">
        <x:v>Procesamiento</x:v>
      </x:c>
      <x:c r="E46" s="26" t="str">
        <x:v>F0605</x:v>
      </x:c>
      <x:c r="F46" s="26" t="str">
        <x:v>Conservación de alimentos y tecnologías emergentes</x:v>
      </x:c>
      <x:c r="G46" s="26" t="str">
        <x:v>Principios de conservación y tecnologías emergentes.</x:v>
      </x:c>
      <x:c r="H46" s="26" t="n">
        <x:f>COUNTIF('04_Presencia_Curriculos'!D46:X46,"&gt;0")</x:f>
        <x:v>5</x:v>
      </x:c>
      <x:c r="I46" s="32" t="n">
        <x:f>H46/'01_Metodologia'!$F$4</x:f>
        <x:v>0.23809523809523808</x:v>
      </x:c>
      <x:c r="J46" s="26" t="n">
        <x:f>COUNTIF('04_Presencia_Curriculos'!D46:Q46,"&gt;0")</x:f>
        <x:v>5</x:v>
      </x:c>
      <x:c r="K46" s="32" t="n">
        <x:f>J46/'01_Metodologia'!$F$5</x:f>
        <x:v>0.35714285714285715</x:v>
      </x:c>
      <x:c r="L46" s="26" t="n">
        <x:f>COUNTIF('04_Presencia_Curriculos'!D46:P46,"&gt;0")</x:f>
        <x:v>5</x:v>
      </x:c>
      <x:c r="M46" s="32" t="n">
        <x:f>L46/'01_Metodologia'!$F$6</x:f>
        <x:v>0.38461538461538464</x:v>
      </x:c>
      <x:c r="N46" s="26" t="n">
        <x:f>COUNTIF('04_Presencia_Curriculos'!D46:P46,2)</x:f>
        <x:v>5</x:v>
      </x:c>
      <x:c r="O46" s="32" t="n">
        <x:f>N46/'01_Metodologia'!$F$6</x:f>
        <x:v>0.38461538461538464</x:v>
      </x:c>
      <x:c r="P46" s="26" t="n">
        <x:f>COUNTIF('04_Presencia_Curriculos'!D46:P46,1)</x:f>
        <x:v>0</x:v>
      </x:c>
      <x:c r="Q46" s="26" t="n">
        <x:f>COUNTIF('04_Presencia_Curriculos'!R46:X46,"&gt;0")</x:f>
        <x:v>0</x:v>
      </x:c>
      <x:c r="R46" s="32" t="n">
        <x:f>Q46/'01_Metodologia'!$F$7</x:f>
        <x:v>0</x:v>
      </x:c>
      <x:c r="S46" s="36" t="n">
        <x:v>1.5</x:v>
      </x:c>
      <x:c r="T46" s="32" t="n">
        <x:f>AVERAGE('05_Peso_Creditos_Core'!D46:O46)</x:f>
        <x:v>0.007523148148148148</x:v>
      </x:c>
      <x:c r="U46" s="32" t="n">
        <x:f>MEDIAN('05_Peso_Creditos_Core'!D46:O46)</x:f>
        <x:v>0</x:v>
      </x:c>
      <x:c r="V46" s="34" t="n">
        <x:f>IF(COUNT('06_Posicion_Core'!D46:P46)=0,"",MEDIAN('06_Posicion_Core'!D46:P46))</x:f>
        <x:v>68.75</x:v>
      </x:c>
      <x:c r="W46" s="26" t="str">
        <x:f>IF(V46="","NR",IF(V46&lt;=25,"E1 Fundamentos",IF(V46&lt;=50,"E2 Fundamentos de ingeniería",IF(V46&lt;=75,"E3 Formación profesional","E4 Integración/especialización"))))</x:f>
        <x:v>E3 Formación profesional</x:v>
      </x:c>
      <x:c r="X46" s="26" t="n">
        <x:f>IF(COUNT('07_Profundidad_Core'!D46:P46)=0,"",MEDIAN('07_Profundidad_Core'!D46:P46))</x:f>
        <x:v>2</x:v>
      </x:c>
      <x:c r="Y46" s="26" t="str">
        <x:f>IF(X46="","NR",IF(X46=INT(X46),"N"&amp;TEXT(X46,"0"),"N"&amp;TEXT(INT(X46),"0")&amp;"–N"&amp;TEXT(INT(X46)+1,"0")))</x:f>
        <x:v>N2</x:v>
      </x:c>
      <x:c r="Z46" s="32" t="n">
        <x:v>0</x:v>
      </x:c>
      <x:c r="AA46" s="32" t="n">
        <x:v>0</x:v>
      </x:c>
      <x:c r="AB46" s="26" t="str">
        <x:f>IF(M46&gt;=0.75,"Universal / núcleo",IF(M46&gt;=0.5,"Consolidada",IF(M46&gt;=0.25,"Selectiva","Baja prevalencia")))</x:f>
        <x:v>Selectiva</x:v>
      </x:c>
      <x:c r="AC46" s="26" t="str">
        <x:v>Sí</x:v>
      </x:c>
      <x:c r="AD46" s="26" t="str">
        <x:f>IF(AND(AC46="Sí",L46&gt;=2,M46&lt;0.5,V46&gt;=45),"Emergente en grado",IF(AND(AC46="Sí",L46&lt;=1,Q46&gt;=2),"Emergente desde nivel avanzado",IF(AND(M46&lt;0.25,L46&gt;=1),"Nicho / especialización","")))</x:f>
        <x:v>Emergente en grado</x:v>
      </x:c>
      <x:c r="AE46" s="26" t="str"/>
      <x:c r="AF46" s="26" t="str"/>
      <x:c r="AG46" s="26" t="str">
        <x:f>IF(AND(AB46="Universal / núcleo",AE46="Alta"),"Muy alta",IF(AND(OR(AD46="Emergente en grado",AD46="Emergente desde nivel avanzado"),AE46="Alta"),"Muy alta",IF(OR(AB46="Universal / núcleo",AB46="Consolidada",AE46="Alta"),"Alta",IF(OR(AD46&lt;&gt;"",AE46="Media"),"Media","Baja"))))</x:f>
        <x:v>Media</x:v>
      </x:c>
      <x:c r="AH46" s="26" t="str">
        <x:v>Comparar con la malla EPN Agro antes de decidir mantener/reforzar/integrar/añadir.</x:v>
      </x:c>
    </x:row>
    <x:row r="47">
      <x:c r="A47" s="26" t="str">
        <x:v>A06</x:v>
      </x:c>
      <x:c r="B47" s="26" t="str">
        <x:v>Ciencia y Tecnología General de Alimentos</x:v>
      </x:c>
      <x:c r="C47" s="26" t="str">
        <x:v>S19</x:v>
      </x:c>
      <x:c r="D47" s="26" t="str">
        <x:v>Procesamiento</x:v>
      </x:c>
      <x:c r="E47" s="26" t="str">
        <x:v>F0606</x:v>
      </x:c>
      <x:c r="F47" s="26" t="str">
        <x:v>Formulación y diseño tecnológico del alimento</x:v>
      </x:c>
      <x:c r="G47" s="26" t="str">
        <x:v>Formulación de matrices alimentarias.</x:v>
      </x:c>
      <x:c r="H47" s="26" t="n">
        <x:f>COUNTIF('04_Presencia_Curriculos'!D47:X47,"&gt;0")</x:f>
        <x:v>2</x:v>
      </x:c>
      <x:c r="I47" s="32" t="n">
        <x:f>H47/'01_Metodologia'!$F$4</x:f>
        <x:v>0.09523809523809523</x:v>
      </x:c>
      <x:c r="J47" s="26" t="n">
        <x:f>COUNTIF('04_Presencia_Curriculos'!D47:Q47,"&gt;0")</x:f>
        <x:v>1</x:v>
      </x:c>
      <x:c r="K47" s="32" t="n">
        <x:f>J47/'01_Metodologia'!$F$5</x:f>
        <x:v>0.07142857142857142</x:v>
      </x:c>
      <x:c r="L47" s="26" t="n">
        <x:f>COUNTIF('04_Presencia_Curriculos'!D47:P47,"&gt;0")</x:f>
        <x:v>1</x:v>
      </x:c>
      <x:c r="M47" s="32" t="n">
        <x:f>L47/'01_Metodologia'!$F$6</x:f>
        <x:v>0.07692307692307693</x:v>
      </x:c>
      <x:c r="N47" s="26" t="n">
        <x:f>COUNTIF('04_Presencia_Curriculos'!D47:P47,2)</x:f>
        <x:v>1</x:v>
      </x:c>
      <x:c r="O47" s="32" t="n">
        <x:f>N47/'01_Metodologia'!$F$6</x:f>
        <x:v>0.07692307692307693</x:v>
      </x:c>
      <x:c r="P47" s="26" t="n">
        <x:f>COUNTIF('04_Presencia_Curriculos'!D47:P47,1)</x:f>
        <x:v>0</x:v>
      </x:c>
      <x:c r="Q47" s="26" t="n">
        <x:f>COUNTIF('04_Presencia_Curriculos'!R47:X47,"&gt;0")</x:f>
        <x:v>1</x:v>
      </x:c>
      <x:c r="R47" s="32" t="n">
        <x:f>Q47/'01_Metodologia'!$F$7</x:f>
        <x:v>0.14285714285714285</x:v>
      </x:c>
      <x:c r="S47" s="36" t="n">
        <x:v>0.75</x:v>
      </x:c>
      <x:c r="T47" s="32" t="n">
        <x:f>AVERAGE('05_Peso_Creditos_Core'!D47:O47)</x:f>
        <x:v>0.004166666666666667</x:v>
      </x:c>
      <x:c r="U47" s="32" t="n">
        <x:f>MEDIAN('05_Peso_Creditos_Core'!D47:O47)</x:f>
        <x:v>0</x:v>
      </x:c>
      <x:c r="V47" s="34" t="n">
        <x:f>IF(COUNT('06_Posicion_Core'!D47:P47)=0,"",MEDIAN('06_Posicion_Core'!D47:P47))</x:f>
        <x:v>58.333333333333336</x:v>
      </x:c>
      <x:c r="W47" s="26" t="str">
        <x:f>IF(V47="","NR",IF(V47&lt;=25,"E1 Fundamentos",IF(V47&lt;=50,"E2 Fundamentos de ingeniería",IF(V47&lt;=75,"E3 Formación profesional","E4 Integración/especialización"))))</x:f>
        <x:v>E3 Formación profesional</x:v>
      </x:c>
      <x:c r="X47" s="26" t="n">
        <x:f>IF(COUNT('07_Profundidad_Core'!D47:P47)=0,"",MEDIAN('07_Profundidad_Core'!D47:P47))</x:f>
        <x:v>3</x:v>
      </x:c>
      <x:c r="Y47" s="26" t="str">
        <x:f>IF(X47="","NR",IF(X47=INT(X47),"N"&amp;TEXT(X47,"0"),"N"&amp;TEXT(INT(X47),"0")&amp;"–N"&amp;TEXT(INT(X47)+1,"0")))</x:f>
        <x:v>N3</x:v>
      </x:c>
      <x:c r="Z47" s="32" t="n">
        <x:v>0</x:v>
      </x:c>
      <x:c r="AA47" s="32" t="n">
        <x:v>0</x:v>
      </x:c>
      <x:c r="AB47" s="26" t="str">
        <x:f>IF(M47&gt;=0.75,"Universal / núcleo",IF(M47&gt;=0.5,"Consolidada",IF(M47&gt;=0.25,"Selectiva","Baja prevalencia")))</x:f>
        <x:v>Baja prevalencia</x:v>
      </x:c>
      <x:c r="AC47" s="26" t="str">
        <x:v>No</x:v>
      </x:c>
      <x:c r="AD47" s="26" t="str">
        <x:f>IF(AND(AC47="Sí",L47&gt;=2,M47&lt;0.5,V47&gt;=45),"Emergente en grado",IF(AND(AC47="Sí",L47&lt;=1,Q47&gt;=2),"Emergente desde nivel avanzado",IF(AND(M47&lt;0.25,L47&gt;=1),"Nicho / especialización","")))</x:f>
        <x:v>Nicho / especialización</x:v>
      </x:c>
      <x:c r="AE47" s="26" t="str"/>
      <x:c r="AF47" s="26" t="str"/>
      <x:c r="AG47" s="26" t="str">
        <x:f>IF(AND(AB47="Universal / núcleo",AE47="Alta"),"Muy alta",IF(AND(OR(AD47="Emergente en grado",AD47="Emergente desde nivel avanzado"),AE47="Alta"),"Muy alta",IF(OR(AB47="Universal / núcleo",AB47="Consolidada",AE47="Alta"),"Alta",IF(OR(AD47&lt;&gt;"",AE47="Media"),"Media","Baja"))))</x:f>
        <x:v>Media</x:v>
      </x:c>
      <x:c r="AH47" s="26" t="str">
        <x:v>Comparar con la malla EPN Agro antes de decidir mantener/reforzar/integrar/añadir.</x:v>
      </x:c>
    </x:row>
    <x:row r="48">
      <x:c r="A48" s="26" t="str">
        <x:v>A07</x:v>
      </x:c>
      <x:c r="B48" s="26" t="str">
        <x:v>Tecnologías Sectoriales Agroalimentarias</x:v>
      </x:c>
      <x:c r="C48" s="26" t="str">
        <x:v>S20</x:v>
      </x:c>
      <x:c r="D48" s="26" t="str">
        <x:v>Tecnologías animales</x:v>
      </x:c>
      <x:c r="E48" s="26" t="str">
        <x:v>F0701</x:v>
      </x:c>
      <x:c r="F48" s="26" t="str">
        <x:v>Tecnología de lácteos</x:v>
      </x:c>
      <x:c r="G48" s="26" t="str">
        <x:v>Leche, quesos y derivados.</x:v>
      </x:c>
      <x:c r="H48" s="26" t="n">
        <x:f>COUNTIF('04_Presencia_Curriculos'!D48:X48,"&gt;0")</x:f>
        <x:v>4</x:v>
      </x:c>
      <x:c r="I48" s="32" t="n">
        <x:f>H48/'01_Metodologia'!$F$4</x:f>
        <x:v>0.19047619047619047</x:v>
      </x:c>
      <x:c r="J48" s="26" t="n">
        <x:f>COUNTIF('04_Presencia_Curriculos'!D48:Q48,"&gt;0")</x:f>
        <x:v>4</x:v>
      </x:c>
      <x:c r="K48" s="32" t="n">
        <x:f>J48/'01_Metodologia'!$F$5</x:f>
        <x:v>0.2857142857142857</x:v>
      </x:c>
      <x:c r="L48" s="26" t="n">
        <x:f>COUNTIF('04_Presencia_Curriculos'!D48:P48,"&gt;0")</x:f>
        <x:v>4</x:v>
      </x:c>
      <x:c r="M48" s="32" t="n">
        <x:f>L48/'01_Metodologia'!$F$6</x:f>
        <x:v>0.3076923076923077</x:v>
      </x:c>
      <x:c r="N48" s="26" t="n">
        <x:f>COUNTIF('04_Presencia_Curriculos'!D48:P48,2)</x:f>
        <x:v>3</x:v>
      </x:c>
      <x:c r="O48" s="32" t="n">
        <x:f>N48/'01_Metodologia'!$F$6</x:f>
        <x:v>0.23076923076923078</x:v>
      </x:c>
      <x:c r="P48" s="26" t="n">
        <x:f>COUNTIF('04_Presencia_Curriculos'!D48:P48,1)</x:f>
        <x:v>1</x:v>
      </x:c>
      <x:c r="Q48" s="26" t="n">
        <x:f>COUNTIF('04_Presencia_Curriculos'!R48:X48,"&gt;0")</x:f>
        <x:v>0</x:v>
      </x:c>
      <x:c r="R48" s="32" t="n">
        <x:f>Q48/'01_Metodologia'!$F$7</x:f>
        <x:v>0</x:v>
      </x:c>
      <x:c r="S48" s="36" t="n">
        <x:v>1.1666666666666667</x:v>
      </x:c>
      <x:c r="T48" s="32" t="n">
        <x:f>AVERAGE('05_Peso_Creditos_Core'!D48:O48)</x:f>
        <x:v>0.006018518518518519</x:v>
      </x:c>
      <x:c r="U48" s="32" t="n">
        <x:f>MEDIAN('05_Peso_Creditos_Core'!D48:O48)</x:f>
        <x:v>0</x:v>
      </x:c>
      <x:c r="V48" s="34" t="n">
        <x:f>IF(COUNT('06_Posicion_Core'!D48:P48)=0,"",MEDIAN('06_Posicion_Core'!D48:P48))</x:f>
        <x:v>66.66666666666667</x:v>
      </x:c>
      <x:c r="W48" s="26" t="str">
        <x:f>IF(V48="","NR",IF(V48&lt;=25,"E1 Fundamentos",IF(V48&lt;=50,"E2 Fundamentos de ingeniería",IF(V48&lt;=75,"E3 Formación profesional","E4 Integración/especialización"))))</x:f>
        <x:v>E3 Formación profesional</x:v>
      </x:c>
      <x:c r="X48" s="26" t="n">
        <x:f>IF(COUNT('07_Profundidad_Core'!D48:P48)=0,"",MEDIAN('07_Profundidad_Core'!D48:P48))</x:f>
        <x:v>2</x:v>
      </x:c>
      <x:c r="Y48" s="26" t="str">
        <x:f>IF(X48="","NR",IF(X48=INT(X48),"N"&amp;TEXT(X48,"0"),"N"&amp;TEXT(INT(X48),"0")&amp;"–N"&amp;TEXT(INT(X48)+1,"0")))</x:f>
        <x:v>N2</x:v>
      </x:c>
      <x:c r="Z48" s="32" t="n">
        <x:v>0</x:v>
      </x:c>
      <x:c r="AA48" s="32" t="n">
        <x:v>0</x:v>
      </x:c>
      <x:c r="AB48" s="26" t="str">
        <x:f>IF(M48&gt;=0.75,"Universal / núcleo",IF(M48&gt;=0.5,"Consolidada",IF(M48&gt;=0.25,"Selectiva","Baja prevalencia")))</x:f>
        <x:v>Selectiva</x:v>
      </x:c>
      <x:c r="AC48" s="26" t="str">
        <x:v>No</x:v>
      </x:c>
      <x:c r="AD48" s="26" t="str">
        <x:f>IF(AND(AC48="Sí",L48&gt;=2,M48&lt;0.5,V48&gt;=45),"Emergente en grado",IF(AND(AC48="Sí",L48&lt;=1,Q48&gt;=2),"Emergente desde nivel avanzado",IF(AND(M48&lt;0.25,L48&gt;=1),"Nicho / especialización","")))</x:f>
      </x:c>
      <x:c r="AE48" s="26" t="str"/>
      <x:c r="AF48" s="26" t="str"/>
      <x:c r="AG48" s="26" t="str">
        <x:f>IF(AND(AB48="Universal / núcleo",AE48="Alta"),"Muy alta",IF(AND(OR(AD48="Emergente en grado",AD48="Emergente desde nivel avanzado"),AE48="Alta"),"Muy alta",IF(OR(AB48="Universal / núcleo",AB48="Consolidada",AE48="Alta"),"Alta",IF(OR(AD48&lt;&gt;"",AE48="Media"),"Media","Baja"))))</x:f>
        <x:v>Baja</x:v>
      </x:c>
      <x:c r="AH48" s="26" t="str">
        <x:v>Comparar con la malla EPN Agro antes de decidir mantener/reforzar/integrar/añadir.</x:v>
      </x:c>
    </x:row>
    <x:row r="49">
      <x:c r="A49" s="26" t="str">
        <x:v>A07</x:v>
      </x:c>
      <x:c r="B49" s="26" t="str">
        <x:v>Tecnologías Sectoriales Agroalimentarias</x:v>
      </x:c>
      <x:c r="C49" s="26" t="str">
        <x:v>S20</x:v>
      </x:c>
      <x:c r="D49" s="26" t="str">
        <x:v>Tecnologías animales</x:v>
      </x:c>
      <x:c r="E49" s="26" t="str">
        <x:v>F0702</x:v>
      </x:c>
      <x:c r="F49" s="26" t="str">
        <x:v>Tecnología de carnes, aves y pescado</x:v>
      </x:c>
      <x:c r="G49" s="26" t="str">
        <x:v>Carnes, aves y pescado.</x:v>
      </x:c>
      <x:c r="H49" s="26" t="n">
        <x:f>COUNTIF('04_Presencia_Curriculos'!D49:X49,"&gt;0")</x:f>
        <x:v>6</x:v>
      </x:c>
      <x:c r="I49" s="32" t="n">
        <x:f>H49/'01_Metodologia'!$F$4</x:f>
        <x:v>0.2857142857142857</x:v>
      </x:c>
      <x:c r="J49" s="26" t="n">
        <x:f>COUNTIF('04_Presencia_Curriculos'!D49:Q49,"&gt;0")</x:f>
        <x:v>6</x:v>
      </x:c>
      <x:c r="K49" s="32" t="n">
        <x:f>J49/'01_Metodologia'!$F$5</x:f>
        <x:v>0.42857142857142855</x:v>
      </x:c>
      <x:c r="L49" s="26" t="n">
        <x:f>COUNTIF('04_Presencia_Curriculos'!D49:P49,"&gt;0")</x:f>
        <x:v>6</x:v>
      </x:c>
      <x:c r="M49" s="32" t="n">
        <x:f>L49/'01_Metodologia'!$F$6</x:f>
        <x:v>0.46153846153846156</x:v>
      </x:c>
      <x:c r="N49" s="26" t="n">
        <x:f>COUNTIF('04_Presencia_Curriculos'!D49:P49,2)</x:f>
        <x:v>6</x:v>
      </x:c>
      <x:c r="O49" s="32" t="n">
        <x:f>N49/'01_Metodologia'!$F$6</x:f>
        <x:v>0.46153846153846156</x:v>
      </x:c>
      <x:c r="P49" s="26" t="n">
        <x:f>COUNTIF('04_Presencia_Curriculos'!D49:P49,1)</x:f>
        <x:v>0</x:v>
      </x:c>
      <x:c r="Q49" s="26" t="n">
        <x:f>COUNTIF('04_Presencia_Curriculos'!R49:X49,"&gt;0")</x:f>
        <x:v>0</x:v>
      </x:c>
      <x:c r="R49" s="32" t="n">
        <x:f>Q49/'01_Metodologia'!$F$7</x:f>
        <x:v>0</x:v>
      </x:c>
      <x:c r="S49" s="36" t="n">
        <x:v>3.25</x:v>
      </x:c>
      <x:c r="T49" s="32" t="n">
        <x:f>AVERAGE('05_Peso_Creditos_Core'!D49:O49)</x:f>
        <x:v>0.015509259259259259</x:v>
      </x:c>
      <x:c r="U49" s="32" t="n">
        <x:f>MEDIAN('05_Peso_Creditos_Core'!D49:O49)</x:f>
        <x:v>0.008333333333333333</x:v>
      </x:c>
      <x:c r="V49" s="34" t="n">
        <x:f>IF(COUNT('06_Posicion_Core'!D49:P49)=0,"",MEDIAN('06_Posicion_Core'!D49:P49))</x:f>
        <x:v>78.125</x:v>
      </x:c>
      <x:c r="W49" s="26" t="str">
        <x:f>IF(V49="","NR",IF(V49&lt;=25,"E1 Fundamentos",IF(V49&lt;=50,"E2 Fundamentos de ingeniería",IF(V49&lt;=75,"E3 Formación profesional","E4 Integración/especialización"))))</x:f>
        <x:v>E4 Integración/especialización</x:v>
      </x:c>
      <x:c r="X49" s="26" t="n">
        <x:f>IF(COUNT('07_Profundidad_Core'!D49:P49)=0,"",MEDIAN('07_Profundidad_Core'!D49:P49))</x:f>
        <x:v>2</x:v>
      </x:c>
      <x:c r="Y49" s="26" t="str">
        <x:f>IF(X49="","NR",IF(X49=INT(X49),"N"&amp;TEXT(X49,"0"),"N"&amp;TEXT(INT(X49),"0")&amp;"–N"&amp;TEXT(INT(X49)+1,"0")))</x:f>
        <x:v>N2</x:v>
      </x:c>
      <x:c r="Z49" s="32" t="n">
        <x:v>0</x:v>
      </x:c>
      <x:c r="AA49" s="32" t="n">
        <x:v>0</x:v>
      </x:c>
      <x:c r="AB49" s="26" t="str">
        <x:f>IF(M49&gt;=0.75,"Universal / núcleo",IF(M49&gt;=0.5,"Consolidada",IF(M49&gt;=0.25,"Selectiva","Baja prevalencia")))</x:f>
        <x:v>Selectiva</x:v>
      </x:c>
      <x:c r="AC49" s="26" t="str">
        <x:v>No</x:v>
      </x:c>
      <x:c r="AD49" s="26" t="str">
        <x:f>IF(AND(AC49="Sí",L49&gt;=2,M49&lt;0.5,V49&gt;=45),"Emergente en grado",IF(AND(AC49="Sí",L49&lt;=1,Q49&gt;=2),"Emergente desde nivel avanzado",IF(AND(M49&lt;0.25,L49&gt;=1),"Nicho / especialización","")))</x:f>
      </x:c>
      <x:c r="AE49" s="26" t="str"/>
      <x:c r="AF49" s="26" t="str"/>
      <x:c r="AG49" s="26" t="str">
        <x:f>IF(AND(AB49="Universal / núcleo",AE49="Alta"),"Muy alta",IF(AND(OR(AD49="Emergente en grado",AD49="Emergente desde nivel avanzado"),AE49="Alta"),"Muy alta",IF(OR(AB49="Universal / núcleo",AB49="Consolidada",AE49="Alta"),"Alta",IF(OR(AD49&lt;&gt;"",AE49="Media"),"Media","Baja"))))</x:f>
        <x:v>Baja</x:v>
      </x:c>
      <x:c r="AH49" s="26" t="str">
        <x:v>Comparar con la malla EPN Agro antes de decidir mantener/reforzar/integrar/añadir.</x:v>
      </x:c>
    </x:row>
    <x:row r="50">
      <x:c r="A50" s="26" t="str">
        <x:v>A07</x:v>
      </x:c>
      <x:c r="B50" s="26" t="str">
        <x:v>Tecnologías Sectoriales Agroalimentarias</x:v>
      </x:c>
      <x:c r="C50" s="26" t="str">
        <x:v>S21</x:v>
      </x:c>
      <x:c r="D50" s="26" t="str">
        <x:v>Tecnologías vegetales</x:v>
      </x:c>
      <x:c r="E50" s="26" t="str">
        <x:v>F0703</x:v>
      </x:c>
      <x:c r="F50" s="26" t="str">
        <x:v>Tecnología de cereales y derivados</x:v>
      </x:c>
      <x:c r="G50" s="26" t="str">
        <x:v>Cereales, molienda y derivados.</x:v>
      </x:c>
      <x:c r="H50" s="26" t="n">
        <x:f>COUNTIF('04_Presencia_Curriculos'!D50:X50,"&gt;0")</x:f>
        <x:v>5</x:v>
      </x:c>
      <x:c r="I50" s="32" t="n">
        <x:f>H50/'01_Metodologia'!$F$4</x:f>
        <x:v>0.23809523809523808</x:v>
      </x:c>
      <x:c r="J50" s="26" t="n">
        <x:f>COUNTIF('04_Presencia_Curriculos'!D50:Q50,"&gt;0")</x:f>
        <x:v>5</x:v>
      </x:c>
      <x:c r="K50" s="32" t="n">
        <x:f>J50/'01_Metodologia'!$F$5</x:f>
        <x:v>0.35714285714285715</x:v>
      </x:c>
      <x:c r="L50" s="26" t="n">
        <x:f>COUNTIF('04_Presencia_Curriculos'!D50:P50,"&gt;0")</x:f>
        <x:v>5</x:v>
      </x:c>
      <x:c r="M50" s="32" t="n">
        <x:f>L50/'01_Metodologia'!$F$6</x:f>
        <x:v>0.38461538461538464</x:v>
      </x:c>
      <x:c r="N50" s="26" t="n">
        <x:f>COUNTIF('04_Presencia_Curriculos'!D50:P50,2)</x:f>
        <x:v>3</x:v>
      </x:c>
      <x:c r="O50" s="32" t="n">
        <x:f>N50/'01_Metodologia'!$F$6</x:f>
        <x:v>0.23076923076923078</x:v>
      </x:c>
      <x:c r="P50" s="26" t="n">
        <x:f>COUNTIF('04_Presencia_Curriculos'!D50:P50,1)</x:f>
        <x:v>2</x:v>
      </x:c>
      <x:c r="Q50" s="26" t="n">
        <x:f>COUNTIF('04_Presencia_Curriculos'!R50:X50,"&gt;0")</x:f>
        <x:v>0</x:v>
      </x:c>
      <x:c r="R50" s="32" t="n">
        <x:f>Q50/'01_Metodologia'!$F$7</x:f>
        <x:v>0</x:v>
      </x:c>
      <x:c r="S50" s="36" t="n">
        <x:v>1.25</x:v>
      </x:c>
      <x:c r="T50" s="32" t="n">
        <x:f>AVERAGE('05_Peso_Creditos_Core'!D50:O50)</x:f>
        <x:v>0.005787037037037038</x:v>
      </x:c>
      <x:c r="U50" s="32" t="n">
        <x:f>MEDIAN('05_Peso_Creditos_Core'!D50:O50)</x:f>
        <x:v>0</x:v>
      </x:c>
      <x:c r="V50" s="34" t="n">
        <x:f>IF(COUNT('06_Posicion_Core'!D50:P50)=0,"",MEDIAN('06_Posicion_Core'!D50:P50))</x:f>
        <x:v>75</x:v>
      </x:c>
      <x:c r="W50" s="26" t="str">
        <x:f>IF(V50="","NR",IF(V50&lt;=25,"E1 Fundamentos",IF(V50&lt;=50,"E2 Fundamentos de ingeniería",IF(V50&lt;=75,"E3 Formación profesional","E4 Integración/especialización"))))</x:f>
        <x:v>E3 Formación profesional</x:v>
      </x:c>
      <x:c r="X50" s="26" t="n">
        <x:f>IF(COUNT('07_Profundidad_Core'!D50:P50)=0,"",MEDIAN('07_Profundidad_Core'!D50:P50))</x:f>
        <x:v>2</x:v>
      </x:c>
      <x:c r="Y50" s="26" t="str">
        <x:f>IF(X50="","NR",IF(X50=INT(X50),"N"&amp;TEXT(X50,"0"),"N"&amp;TEXT(INT(X50),"0")&amp;"–N"&amp;TEXT(INT(X50)+1,"0")))</x:f>
        <x:v>N2</x:v>
      </x:c>
      <x:c r="Z50" s="32" t="n">
        <x:v>0</x:v>
      </x:c>
      <x:c r="AA50" s="32" t="n">
        <x:v>0</x:v>
      </x:c>
      <x:c r="AB50" s="26" t="str">
        <x:f>IF(M50&gt;=0.75,"Universal / núcleo",IF(M50&gt;=0.5,"Consolidada",IF(M50&gt;=0.25,"Selectiva","Baja prevalencia")))</x:f>
        <x:v>Selectiva</x:v>
      </x:c>
      <x:c r="AC50" s="26" t="str">
        <x:v>No</x:v>
      </x:c>
      <x:c r="AD50" s="26" t="str">
        <x:f>IF(AND(AC50="Sí",L50&gt;=2,M50&lt;0.5,V50&gt;=45),"Emergente en grado",IF(AND(AC50="Sí",L50&lt;=1,Q50&gt;=2),"Emergente desde nivel avanzado",IF(AND(M50&lt;0.25,L50&gt;=1),"Nicho / especialización","")))</x:f>
      </x:c>
      <x:c r="AE50" s="26" t="str"/>
      <x:c r="AF50" s="26" t="str"/>
      <x:c r="AG50" s="26" t="str">
        <x:f>IF(AND(AB50="Universal / núcleo",AE50="Alta"),"Muy alta",IF(AND(OR(AD50="Emergente en grado",AD50="Emergente desde nivel avanzado"),AE50="Alta"),"Muy alta",IF(OR(AB50="Universal / núcleo",AB50="Consolidada",AE50="Alta"),"Alta",IF(OR(AD50&lt;&gt;"",AE50="Media"),"Media","Baja"))))</x:f>
        <x:v>Baja</x:v>
      </x:c>
      <x:c r="AH50" s="26" t="str">
        <x:v>Comparar con la malla EPN Agro antes de decidir mantener/reforzar/integrar/añadir.</x:v>
      </x:c>
    </x:row>
    <x:row r="51">
      <x:c r="A51" s="26" t="str">
        <x:v>A07</x:v>
      </x:c>
      <x:c r="B51" s="26" t="str">
        <x:v>Tecnologías Sectoriales Agroalimentarias</x:v>
      </x:c>
      <x:c r="C51" s="26" t="str">
        <x:v>S21</x:v>
      </x:c>
      <x:c r="D51" s="26" t="str">
        <x:v>Tecnologías vegetales</x:v>
      </x:c>
      <x:c r="E51" s="26" t="str">
        <x:v>F0704</x:v>
      </x:c>
      <x:c r="F51" s="26" t="str">
        <x:v>Tecnología de frutas, hortalizas y zumos</x:v>
      </x:c>
      <x:c r="G51" s="26" t="str">
        <x:v>Frutas, vegetales y zumos.</x:v>
      </x:c>
      <x:c r="H51" s="26" t="n">
        <x:f>COUNTIF('04_Presencia_Curriculos'!D51:X51,"&gt;0")</x:f>
        <x:v>6</x:v>
      </x:c>
      <x:c r="I51" s="32" t="n">
        <x:f>H51/'01_Metodologia'!$F$4</x:f>
        <x:v>0.2857142857142857</x:v>
      </x:c>
      <x:c r="J51" s="26" t="n">
        <x:f>COUNTIF('04_Presencia_Curriculos'!D51:Q51,"&gt;0")</x:f>
        <x:v>5</x:v>
      </x:c>
      <x:c r="K51" s="32" t="n">
        <x:f>J51/'01_Metodologia'!$F$5</x:f>
        <x:v>0.35714285714285715</x:v>
      </x:c>
      <x:c r="L51" s="26" t="n">
        <x:f>COUNTIF('04_Presencia_Curriculos'!D51:P51,"&gt;0")</x:f>
        <x:v>5</x:v>
      </x:c>
      <x:c r="M51" s="32" t="n">
        <x:f>L51/'01_Metodologia'!$F$6</x:f>
        <x:v>0.38461538461538464</x:v>
      </x:c>
      <x:c r="N51" s="26" t="n">
        <x:f>COUNTIF('04_Presencia_Curriculos'!D51:P51,2)</x:f>
        <x:v>4</x:v>
      </x:c>
      <x:c r="O51" s="32" t="n">
        <x:f>N51/'01_Metodologia'!$F$6</x:f>
        <x:v>0.3076923076923077</x:v>
      </x:c>
      <x:c r="P51" s="26" t="n">
        <x:f>COUNTIF('04_Presencia_Curriculos'!D51:P51,1)</x:f>
        <x:v>1</x:v>
      </x:c>
      <x:c r="Q51" s="26" t="n">
        <x:f>COUNTIF('04_Presencia_Curriculos'!R51:X51,"&gt;0")</x:f>
        <x:v>1</x:v>
      </x:c>
      <x:c r="R51" s="32" t="n">
        <x:f>Q51/'01_Metodologia'!$F$7</x:f>
        <x:v>0.14285714285714285</x:v>
      </x:c>
      <x:c r="S51" s="36" t="n">
        <x:v>1.3333333333333333</x:v>
      </x:c>
      <x:c r="T51" s="32" t="n">
        <x:f>AVERAGE('05_Peso_Creditos_Core'!D51:O51)</x:f>
        <x:v>0.007407407407407408</x:v>
      </x:c>
      <x:c r="U51" s="32" t="n">
        <x:f>MEDIAN('05_Peso_Creditos_Core'!D51:O51)</x:f>
        <x:v>0</x:v>
      </x:c>
      <x:c r="V51" s="34" t="n">
        <x:f>IF(COUNT('06_Posicion_Core'!D51:P51)=0,"",MEDIAN('06_Posicion_Core'!D51:P51))</x:f>
        <x:v>58.333333333333336</x:v>
      </x:c>
      <x:c r="W51" s="26" t="str">
        <x:f>IF(V51="","NR",IF(V51&lt;=25,"E1 Fundamentos",IF(V51&lt;=50,"E2 Fundamentos de ingeniería",IF(V51&lt;=75,"E3 Formación profesional","E4 Integración/especialización"))))</x:f>
        <x:v>E3 Formación profesional</x:v>
      </x:c>
      <x:c r="X51" s="26" t="n">
        <x:f>IF(COUNT('07_Profundidad_Core'!D51:P51)=0,"",MEDIAN('07_Profundidad_Core'!D51:P51))</x:f>
        <x:v>2</x:v>
      </x:c>
      <x:c r="Y51" s="26" t="str">
        <x:f>IF(X51="","NR",IF(X51=INT(X51),"N"&amp;TEXT(X51,"0"),"N"&amp;TEXT(INT(X51),"0")&amp;"–N"&amp;TEXT(INT(X51)+1,"0")))</x:f>
        <x:v>N2</x:v>
      </x:c>
      <x:c r="Z51" s="32" t="n">
        <x:v>0</x:v>
      </x:c>
      <x:c r="AA51" s="32" t="n">
        <x:v>0</x:v>
      </x:c>
      <x:c r="AB51" s="26" t="str">
        <x:f>IF(M51&gt;=0.75,"Universal / núcleo",IF(M51&gt;=0.5,"Consolidada",IF(M51&gt;=0.25,"Selectiva","Baja prevalencia")))</x:f>
        <x:v>Selectiva</x:v>
      </x:c>
      <x:c r="AC51" s="26" t="str">
        <x:v>No</x:v>
      </x:c>
      <x:c r="AD51" s="26" t="str">
        <x:f>IF(AND(AC51="Sí",L51&gt;=2,M51&lt;0.5,V51&gt;=45),"Emergente en grado",IF(AND(AC51="Sí",L51&lt;=1,Q51&gt;=2),"Emergente desde nivel avanzado",IF(AND(M51&lt;0.25,L51&gt;=1),"Nicho / especialización","")))</x:f>
      </x:c>
      <x:c r="AE51" s="26" t="str"/>
      <x:c r="AF51" s="26" t="str"/>
      <x:c r="AG51" s="26" t="str">
        <x:f>IF(AND(AB51="Universal / núcleo",AE51="Alta"),"Muy alta",IF(AND(OR(AD51="Emergente en grado",AD51="Emergente desde nivel avanzado"),AE51="Alta"),"Muy alta",IF(OR(AB51="Universal / núcleo",AB51="Consolidada",AE51="Alta"),"Alta",IF(OR(AD51&lt;&gt;"",AE51="Media"),"Media","Baja"))))</x:f>
        <x:v>Baja</x:v>
      </x:c>
      <x:c r="AH51" s="26" t="str">
        <x:v>Comparar con la malla EPN Agro antes de decidir mantener/reforzar/integrar/añadir.</x:v>
      </x:c>
    </x:row>
    <x:row r="52">
      <x:c r="A52" s="26" t="str">
        <x:v>A07</x:v>
      </x:c>
      <x:c r="B52" s="26" t="str">
        <x:v>Tecnologías Sectoriales Agroalimentarias</x:v>
      </x:c>
      <x:c r="C52" s="26" t="str">
        <x:v>S21</x:v>
      </x:c>
      <x:c r="D52" s="26" t="str">
        <x:v>Tecnologías vegetales</x:v>
      </x:c>
      <x:c r="E52" s="26" t="str">
        <x:v>F0705</x:v>
      </x:c>
      <x:c r="F52" s="26" t="str">
        <x:v>Tecnología de aceites y grasas</x:v>
      </x:c>
      <x:c r="G52" s="26" t="str">
        <x:v>Aceites, grasas y oliva.</x:v>
      </x:c>
      <x:c r="H52" s="26" t="n">
        <x:f>COUNTIF('04_Presencia_Curriculos'!D52:X52,"&gt;0")</x:f>
        <x:v>4</x:v>
      </x:c>
      <x:c r="I52" s="32" t="n">
        <x:f>H52/'01_Metodologia'!$F$4</x:f>
        <x:v>0.19047619047619047</x:v>
      </x:c>
      <x:c r="J52" s="26" t="n">
        <x:f>COUNTIF('04_Presencia_Curriculos'!D52:Q52,"&gt;0")</x:f>
        <x:v>4</x:v>
      </x:c>
      <x:c r="K52" s="32" t="n">
        <x:f>J52/'01_Metodologia'!$F$5</x:f>
        <x:v>0.2857142857142857</x:v>
      </x:c>
      <x:c r="L52" s="26" t="n">
        <x:f>COUNTIF('04_Presencia_Curriculos'!D52:P52,"&gt;0")</x:f>
        <x:v>4</x:v>
      </x:c>
      <x:c r="M52" s="32" t="n">
        <x:f>L52/'01_Metodologia'!$F$6</x:f>
        <x:v>0.3076923076923077</x:v>
      </x:c>
      <x:c r="N52" s="26" t="n">
        <x:f>COUNTIF('04_Presencia_Curriculos'!D52:P52,2)</x:f>
        <x:v>3</x:v>
      </x:c>
      <x:c r="O52" s="32" t="n">
        <x:f>N52/'01_Metodologia'!$F$6</x:f>
        <x:v>0.23076923076923078</x:v>
      </x:c>
      <x:c r="P52" s="26" t="n">
        <x:f>COUNTIF('04_Presencia_Curriculos'!D52:P52,1)</x:f>
        <x:v>1</x:v>
      </x:c>
      <x:c r="Q52" s="26" t="n">
        <x:f>COUNTIF('04_Presencia_Curriculos'!R52:X52,"&gt;0")</x:f>
        <x:v>0</x:v>
      </x:c>
      <x:c r="R52" s="32" t="n">
        <x:f>Q52/'01_Metodologia'!$F$7</x:f>
        <x:v>0</x:v>
      </x:c>
      <x:c r="S52" s="36" t="n">
        <x:v>1.4166666666666667</x:v>
      </x:c>
      <x:c r="T52" s="32" t="n">
        <x:f>AVERAGE('05_Peso_Creditos_Core'!D52:O52)</x:f>
        <x:v>0.00787037037037037</x:v>
      </x:c>
      <x:c r="U52" s="32" t="n">
        <x:f>MEDIAN('05_Peso_Creditos_Core'!D52:O52)</x:f>
        <x:v>0</x:v>
      </x:c>
      <x:c r="V52" s="34" t="n">
        <x:f>IF(COUNT('06_Posicion_Core'!D52:P52)=0,"",MEDIAN('06_Posicion_Core'!D52:P52))</x:f>
        <x:v>78.125</x:v>
      </x:c>
      <x:c r="W52" s="26" t="str">
        <x:f>IF(V52="","NR",IF(V52&lt;=25,"E1 Fundamentos",IF(V52&lt;=50,"E2 Fundamentos de ingeniería",IF(V52&lt;=75,"E3 Formación profesional","E4 Integración/especialización"))))</x:f>
        <x:v>E4 Integración/especialización</x:v>
      </x:c>
      <x:c r="X52" s="26" t="n">
        <x:f>IF(COUNT('07_Profundidad_Core'!D52:P52)=0,"",MEDIAN('07_Profundidad_Core'!D52:P52))</x:f>
        <x:v>2</x:v>
      </x:c>
      <x:c r="Y52" s="26" t="str">
        <x:f>IF(X52="","NR",IF(X52=INT(X52),"N"&amp;TEXT(X52,"0"),"N"&amp;TEXT(INT(X52),"0")&amp;"–N"&amp;TEXT(INT(X52)+1,"0")))</x:f>
        <x:v>N2</x:v>
      </x:c>
      <x:c r="Z52" s="32" t="n">
        <x:v>0</x:v>
      </x:c>
      <x:c r="AA52" s="32" t="n">
        <x:v>0</x:v>
      </x:c>
      <x:c r="AB52" s="26" t="str">
        <x:f>IF(M52&gt;=0.75,"Universal / núcleo",IF(M52&gt;=0.5,"Consolidada",IF(M52&gt;=0.25,"Selectiva","Baja prevalencia")))</x:f>
        <x:v>Selectiva</x:v>
      </x:c>
      <x:c r="AC52" s="26" t="str">
        <x:v>No</x:v>
      </x:c>
      <x:c r="AD52" s="26" t="str">
        <x:f>IF(AND(AC52="Sí",L52&gt;=2,M52&lt;0.5,V52&gt;=45),"Emergente en grado",IF(AND(AC52="Sí",L52&lt;=1,Q52&gt;=2),"Emergente desde nivel avanzado",IF(AND(M52&lt;0.25,L52&gt;=1),"Nicho / especialización","")))</x:f>
      </x:c>
      <x:c r="AE52" s="26" t="str"/>
      <x:c r="AF52" s="26" t="str"/>
      <x:c r="AG52" s="26" t="str">
        <x:f>IF(AND(AB52="Universal / núcleo",AE52="Alta"),"Muy alta",IF(AND(OR(AD52="Emergente en grado",AD52="Emergente desde nivel avanzado"),AE52="Alta"),"Muy alta",IF(OR(AB52="Universal / núcleo",AB52="Consolidada",AE52="Alta"),"Alta",IF(OR(AD52&lt;&gt;"",AE52="Media"),"Media","Baja"))))</x:f>
        <x:v>Baja</x:v>
      </x:c>
      <x:c r="AH52" s="26" t="str">
        <x:v>Comparar con la malla EPN Agro antes de decidir mantener/reforzar/integrar/añadir.</x:v>
      </x:c>
    </x:row>
    <x:row r="53">
      <x:c r="A53" s="26" t="str">
        <x:v>A07</x:v>
      </x:c>
      <x:c r="B53" s="26" t="str">
        <x:v>Tecnologías Sectoriales Agroalimentarias</x:v>
      </x:c>
      <x:c r="C53" s="26" t="str">
        <x:v>S22</x:v>
      </x:c>
      <x:c r="D53" s="26" t="str">
        <x:v>Bebidas</x:v>
      </x:c>
      <x:c r="E53" s="26" t="str">
        <x:v>F0706</x:v>
      </x:c>
      <x:c r="F53" s="26" t="str">
        <x:v>Tecnología de vino, cerveza y bebidas alcohólicas</x:v>
      </x:c>
      <x:c r="G53" s="26" t="str">
        <x:v>Enología, cerveza y espirituosas.</x:v>
      </x:c>
      <x:c r="H53" s="26" t="n">
        <x:f>COUNTIF('04_Presencia_Curriculos'!D53:X53,"&gt;0")</x:f>
        <x:v>7</x:v>
      </x:c>
      <x:c r="I53" s="32" t="n">
        <x:f>H53/'01_Metodologia'!$F$4</x:f>
        <x:v>0.3333333333333333</x:v>
      </x:c>
      <x:c r="J53" s="26" t="n">
        <x:f>COUNTIF('04_Presencia_Curriculos'!D53:Q53,"&gt;0")</x:f>
        <x:v>7</x:v>
      </x:c>
      <x:c r="K53" s="32" t="n">
        <x:f>J53/'01_Metodologia'!$F$5</x:f>
        <x:v>0.5</x:v>
      </x:c>
      <x:c r="L53" s="26" t="n">
        <x:f>COUNTIF('04_Presencia_Curriculos'!D53:P53,"&gt;0")</x:f>
        <x:v>6</x:v>
      </x:c>
      <x:c r="M53" s="32" t="n">
        <x:f>L53/'01_Metodologia'!$F$6</x:f>
        <x:v>0.46153846153846156</x:v>
      </x:c>
      <x:c r="N53" s="26" t="n">
        <x:f>COUNTIF('04_Presencia_Curriculos'!D53:P53,2)</x:f>
        <x:v>6</x:v>
      </x:c>
      <x:c r="O53" s="32" t="n">
        <x:f>N53/'01_Metodologia'!$F$6</x:f>
        <x:v>0.46153846153846156</x:v>
      </x:c>
      <x:c r="P53" s="26" t="n">
        <x:f>COUNTIF('04_Presencia_Curriculos'!D53:P53,1)</x:f>
        <x:v>0</x:v>
      </x:c>
      <x:c r="Q53" s="26" t="n">
        <x:f>COUNTIF('04_Presencia_Curriculos'!R53:X53,"&gt;0")</x:f>
        <x:v>0</x:v>
      </x:c>
      <x:c r="R53" s="32" t="n">
        <x:f>Q53/'01_Metodologia'!$F$7</x:f>
        <x:v>0</x:v>
      </x:c>
      <x:c r="S53" s="36" t="n">
        <x:v>2.25</x:v>
      </x:c>
      <x:c r="T53" s="32" t="n">
        <x:f>AVERAGE('05_Peso_Creditos_Core'!D53:O53)</x:f>
        <x:v>0.011342592592592593</x:v>
      </x:c>
      <x:c r="U53" s="32" t="n">
        <x:f>MEDIAN('05_Peso_Creditos_Core'!D53:O53)</x:f>
        <x:v>0</x:v>
      </x:c>
      <x:c r="V53" s="34" t="n">
        <x:f>IF(COUNT('06_Posicion_Core'!D53:P53)=0,"",MEDIAN('06_Posicion_Core'!D53:P53))</x:f>
        <x:v>78.125</x:v>
      </x:c>
      <x:c r="W53" s="26" t="str">
        <x:f>IF(V53="","NR",IF(V53&lt;=25,"E1 Fundamentos",IF(V53&lt;=50,"E2 Fundamentos de ingeniería",IF(V53&lt;=75,"E3 Formación profesional","E4 Integración/especialización"))))</x:f>
        <x:v>E4 Integración/especialización</x:v>
      </x:c>
      <x:c r="X53" s="26" t="n">
        <x:f>IF(COUNT('07_Profundidad_Core'!D53:P53)=0,"",MEDIAN('07_Profundidad_Core'!D53:P53))</x:f>
        <x:v>2</x:v>
      </x:c>
      <x:c r="Y53" s="26" t="str">
        <x:f>IF(X53="","NR",IF(X53=INT(X53),"N"&amp;TEXT(X53,"0"),"N"&amp;TEXT(INT(X53),"0")&amp;"–N"&amp;TEXT(INT(X53)+1,"0")))</x:f>
        <x:v>N2</x:v>
      </x:c>
      <x:c r="Z53" s="32" t="n">
        <x:v>0</x:v>
      </x:c>
      <x:c r="AA53" s="32" t="n">
        <x:v>0</x:v>
      </x:c>
      <x:c r="AB53" s="26" t="str">
        <x:f>IF(M53&gt;=0.75,"Universal / núcleo",IF(M53&gt;=0.5,"Consolidada",IF(M53&gt;=0.25,"Selectiva","Baja prevalencia")))</x:f>
        <x:v>Selectiva</x:v>
      </x:c>
      <x:c r="AC53" s="26" t="str">
        <x:v>No</x:v>
      </x:c>
      <x:c r="AD53" s="26" t="str">
        <x:f>IF(AND(AC53="Sí",L53&gt;=2,M53&lt;0.5,V53&gt;=45),"Emergente en grado",IF(AND(AC53="Sí",L53&lt;=1,Q53&gt;=2),"Emergente desde nivel avanzado",IF(AND(M53&lt;0.25,L53&gt;=1),"Nicho / especialización","")))</x:f>
      </x:c>
      <x:c r="AE53" s="26" t="str"/>
      <x:c r="AF53" s="26" t="str"/>
      <x:c r="AG53" s="26" t="str">
        <x:f>IF(AND(AB53="Universal / núcleo",AE53="Alta"),"Muy alta",IF(AND(OR(AD53="Emergente en grado",AD53="Emergente desde nivel avanzado"),AE53="Alta"),"Muy alta",IF(OR(AB53="Universal / núcleo",AB53="Consolidada",AE53="Alta"),"Alta",IF(OR(AD53&lt;&gt;"",AE53="Media"),"Media","Baja"))))</x:f>
        <x:v>Baja</x:v>
      </x:c>
      <x:c r="AH53" s="26" t="str">
        <x:v>Comparar con la malla EPN Agro antes de decidir mantener/reforzar/integrar/añadir.</x:v>
      </x:c>
    </x:row>
    <x:row r="54">
      <x:c r="A54" s="26" t="str">
        <x:v>A07</x:v>
      </x:c>
      <x:c r="B54" s="26" t="str">
        <x:v>Tecnologías Sectoriales Agroalimentarias</x:v>
      </x:c>
      <x:c r="C54" s="26" t="str">
        <x:v>S22</x:v>
      </x:c>
      <x:c r="D54" s="26" t="str">
        <x:v>Bebidas</x:v>
      </x:c>
      <x:c r="E54" s="26" t="str">
        <x:v>F0707</x:v>
      </x:c>
      <x:c r="F54" s="26" t="str">
        <x:v>Fermentaciones y productos fermentados</x:v>
      </x:c>
      <x:c r="G54" s="26" t="str">
        <x:v>Tecnologías fermentativas generales.</x:v>
      </x:c>
      <x:c r="H54" s="26" t="n">
        <x:f>COUNTIF('04_Presencia_Curriculos'!D54:X54,"&gt;0")</x:f>
        <x:v>1</x:v>
      </x:c>
      <x:c r="I54" s="32" t="n">
        <x:f>H54/'01_Metodologia'!$F$4</x:f>
        <x:v>0.047619047619047616</x:v>
      </x:c>
      <x:c r="J54" s="26" t="n">
        <x:f>COUNTIF('04_Presencia_Curriculos'!D54:Q54,"&gt;0")</x:f>
        <x:v>1</x:v>
      </x:c>
      <x:c r="K54" s="32" t="n">
        <x:f>J54/'01_Metodologia'!$F$5</x:f>
        <x:v>0.07142857142857142</x:v>
      </x:c>
      <x:c r="L54" s="26" t="n">
        <x:f>COUNTIF('04_Presencia_Curriculos'!D54:P54,"&gt;0")</x:f>
        <x:v>1</x:v>
      </x:c>
      <x:c r="M54" s="32" t="n">
        <x:f>L54/'01_Metodologia'!$F$6</x:f>
        <x:v>0.07692307692307693</x:v>
      </x:c>
      <x:c r="N54" s="26" t="n">
        <x:f>COUNTIF('04_Presencia_Curriculos'!D54:P54,2)</x:f>
        <x:v>1</x:v>
      </x:c>
      <x:c r="O54" s="32" t="n">
        <x:f>N54/'01_Metodologia'!$F$6</x:f>
        <x:v>0.07692307692307693</x:v>
      </x:c>
      <x:c r="P54" s="26" t="n">
        <x:f>COUNTIF('04_Presencia_Curriculos'!D54:P54,1)</x:f>
        <x:v>0</x:v>
      </x:c>
      <x:c r="Q54" s="26" t="n">
        <x:f>COUNTIF('04_Presencia_Curriculos'!R54:X54,"&gt;0")</x:f>
        <x:v>0</x:v>
      </x:c>
      <x:c r="R54" s="32" t="n">
        <x:f>Q54/'01_Metodologia'!$F$7</x:f>
        <x:v>0</x:v>
      </x:c>
      <x:c r="S54" s="36" t="n">
        <x:v>0.5</x:v>
      </x:c>
      <x:c r="T54" s="32" t="n">
        <x:f>AVERAGE('05_Peso_Creditos_Core'!D54:O54)</x:f>
        <x:v>0.0020833333333333333</x:v>
      </x:c>
      <x:c r="U54" s="32" t="n">
        <x:f>MEDIAN('05_Peso_Creditos_Core'!D54:O54)</x:f>
        <x:v>0</x:v>
      </x:c>
      <x:c r="V54" s="34" t="n">
        <x:f>IF(COUNT('06_Posicion_Core'!D54:P54)=0,"",MEDIAN('06_Posicion_Core'!D54:P54))</x:f>
        <x:v>56.25</x:v>
      </x:c>
      <x:c r="W54" s="26" t="str">
        <x:f>IF(V54="","NR",IF(V54&lt;=25,"E1 Fundamentos",IF(V54&lt;=50,"E2 Fundamentos de ingeniería",IF(V54&lt;=75,"E3 Formación profesional","E4 Integración/especialización"))))</x:f>
        <x:v>E3 Formación profesional</x:v>
      </x:c>
      <x:c r="X54" s="26" t="n">
        <x:f>IF(COUNT('07_Profundidad_Core'!D54:P54)=0,"",MEDIAN('07_Profundidad_Core'!D54:P54))</x:f>
        <x:v>2</x:v>
      </x:c>
      <x:c r="Y54" s="26" t="str">
        <x:f>IF(X54="","NR",IF(X54=INT(X54),"N"&amp;TEXT(X54,"0"),"N"&amp;TEXT(INT(X54),"0")&amp;"–N"&amp;TEXT(INT(X54)+1,"0")))</x:f>
        <x:v>N2</x:v>
      </x:c>
      <x:c r="Z54" s="32" t="n">
        <x:v>0</x:v>
      </x:c>
      <x:c r="AA54" s="32" t="n">
        <x:v>0</x:v>
      </x:c>
      <x:c r="AB54" s="26" t="str">
        <x:f>IF(M54&gt;=0.75,"Universal / núcleo",IF(M54&gt;=0.5,"Consolidada",IF(M54&gt;=0.25,"Selectiva","Baja prevalencia")))</x:f>
        <x:v>Baja prevalencia</x:v>
      </x:c>
      <x:c r="AC54" s="26" t="str">
        <x:v>No</x:v>
      </x:c>
      <x:c r="AD54" s="26" t="str">
        <x:f>IF(AND(AC54="Sí",L54&gt;=2,M54&lt;0.5,V54&gt;=45),"Emergente en grado",IF(AND(AC54="Sí",L54&lt;=1,Q54&gt;=2),"Emergente desde nivel avanzado",IF(AND(M54&lt;0.25,L54&gt;=1),"Nicho / especialización","")))</x:f>
        <x:v>Nicho / especialización</x:v>
      </x:c>
      <x:c r="AE54" s="26" t="str"/>
      <x:c r="AF54" s="26" t="str"/>
      <x:c r="AG54" s="26" t="str">
        <x:f>IF(AND(AB54="Universal / núcleo",AE54="Alta"),"Muy alta",IF(AND(OR(AD54="Emergente en grado",AD54="Emergente desde nivel avanzado"),AE54="Alta"),"Muy alta",IF(OR(AB54="Universal / núcleo",AB54="Consolidada",AE54="Alta"),"Alta",IF(OR(AD54&lt;&gt;"",AE54="Media"),"Media","Baja"))))</x:f>
        <x:v>Media</x:v>
      </x:c>
      <x:c r="AH54" s="26" t="str">
        <x:v>Comparar con la malla EPN Agro antes de decidir mantener/reforzar/integrar/añadir.</x:v>
      </x:c>
    </x:row>
    <x:row r="55">
      <x:c r="A55" s="26" t="str">
        <x:v>A07</x:v>
      </x:c>
      <x:c r="B55" s="26" t="str">
        <x:v>Tecnologías Sectoriales Agroalimentarias</x:v>
      </x:c>
      <x:c r="C55" s="26" t="str">
        <x:v>S23</x:v>
      </x:c>
      <x:c r="D55" s="26" t="str">
        <x:v>Otras cadenas</x:v>
      </x:c>
      <x:c r="E55" s="26" t="str">
        <x:v>F0708</x:v>
      </x:c>
      <x:c r="F55" s="26" t="str">
        <x:v>Tecnología de recursos marinos</x:v>
      </x:c>
      <x:c r="G55" s="26" t="str">
        <x:v>Productos y recursos marinos.</x:v>
      </x:c>
      <x:c r="H55" s="26" t="n">
        <x:f>COUNTIF('04_Presencia_Curriculos'!D55:X55,"&gt;0")</x:f>
        <x:v>1</x:v>
      </x:c>
      <x:c r="I55" s="32" t="n">
        <x:f>H55/'01_Metodologia'!$F$4</x:f>
        <x:v>0.047619047619047616</x:v>
      </x:c>
      <x:c r="J55" s="26" t="n">
        <x:f>COUNTIF('04_Presencia_Curriculos'!D55:Q55,"&gt;0")</x:f>
        <x:v>1</x:v>
      </x:c>
      <x:c r="K55" s="32" t="n">
        <x:f>J55/'01_Metodologia'!$F$5</x:f>
        <x:v>0.07142857142857142</x:v>
      </x:c>
      <x:c r="L55" s="26" t="n">
        <x:f>COUNTIF('04_Presencia_Curriculos'!D55:P55,"&gt;0")</x:f>
        <x:v>1</x:v>
      </x:c>
      <x:c r="M55" s="32" t="n">
        <x:f>L55/'01_Metodologia'!$F$6</x:f>
        <x:v>0.07692307692307693</x:v>
      </x:c>
      <x:c r="N55" s="26" t="n">
        <x:f>COUNTIF('04_Presencia_Curriculos'!D55:P55,2)</x:f>
        <x:v>1</x:v>
      </x:c>
      <x:c r="O55" s="32" t="n">
        <x:f>N55/'01_Metodologia'!$F$6</x:f>
        <x:v>0.07692307692307693</x:v>
      </x:c>
      <x:c r="P55" s="26" t="n">
        <x:f>COUNTIF('04_Presencia_Curriculos'!D55:P55,1)</x:f>
        <x:v>0</x:v>
      </x:c>
      <x:c r="Q55" s="26" t="n">
        <x:f>COUNTIF('04_Presencia_Curriculos'!R55:X55,"&gt;0")</x:f>
        <x:v>0</x:v>
      </x:c>
      <x:c r="R55" s="32" t="n">
        <x:f>Q55/'01_Metodologia'!$F$7</x:f>
        <x:v>0</x:v>
      </x:c>
      <x:c r="S55" s="36" t="n">
        <x:v>0</x:v>
      </x:c>
      <x:c r="T55" s="32" t="n">
        <x:f>AVERAGE('05_Peso_Creditos_Core'!D55:O55)</x:f>
        <x:v>0</x:v>
      </x:c>
      <x:c r="U55" s="32" t="n">
        <x:f>MEDIAN('05_Peso_Creditos_Core'!D55:O55)</x:f>
        <x:v>0</x:v>
      </x:c>
      <x:c r="V55" s="34" t="n">
        <x:f>IF(COUNT('06_Posicion_Core'!D55:P55)=0,"",MEDIAN('06_Posicion_Core'!D55:P55))</x:f>
        <x:v>58.333333333333336</x:v>
      </x:c>
      <x:c r="W55" s="26" t="str">
        <x:f>IF(V55="","NR",IF(V55&lt;=25,"E1 Fundamentos",IF(V55&lt;=50,"E2 Fundamentos de ingeniería",IF(V55&lt;=75,"E3 Formación profesional","E4 Integración/especialización"))))</x:f>
        <x:v>E3 Formación profesional</x:v>
      </x:c>
      <x:c r="X55" s="26" t="n">
        <x:f>IF(COUNT('07_Profundidad_Core'!D55:P55)=0,"",MEDIAN('07_Profundidad_Core'!D55:P55))</x:f>
        <x:v>2</x:v>
      </x:c>
      <x:c r="Y55" s="26" t="str">
        <x:f>IF(X55="","NR",IF(X55=INT(X55),"N"&amp;TEXT(X55,"0"),"N"&amp;TEXT(INT(X55),"0")&amp;"–N"&amp;TEXT(INT(X55)+1,"0")))</x:f>
        <x:v>N2</x:v>
      </x:c>
      <x:c r="Z55" s="32" t="n">
        <x:v>0</x:v>
      </x:c>
      <x:c r="AA55" s="32" t="n">
        <x:v>0</x:v>
      </x:c>
      <x:c r="AB55" s="26" t="str">
        <x:f>IF(M55&gt;=0.75,"Universal / núcleo",IF(M55&gt;=0.5,"Consolidada",IF(M55&gt;=0.25,"Selectiva","Baja prevalencia")))</x:f>
        <x:v>Baja prevalencia</x:v>
      </x:c>
      <x:c r="AC55" s="26" t="str">
        <x:v>No</x:v>
      </x:c>
      <x:c r="AD55" s="26" t="str">
        <x:f>IF(AND(AC55="Sí",L55&gt;=2,M55&lt;0.5,V55&gt;=45),"Emergente en grado",IF(AND(AC55="Sí",L55&lt;=1,Q55&gt;=2),"Emergente desde nivel avanzado",IF(AND(M55&lt;0.25,L55&gt;=1),"Nicho / especialización","")))</x:f>
        <x:v>Nicho / especialización</x:v>
      </x:c>
      <x:c r="AE55" s="26" t="str"/>
      <x:c r="AF55" s="26" t="str"/>
      <x:c r="AG55" s="26" t="str">
        <x:f>IF(AND(AB55="Universal / núcleo",AE55="Alta"),"Muy alta",IF(AND(OR(AD55="Emergente en grado",AD55="Emergente desde nivel avanzado"),AE55="Alta"),"Muy alta",IF(OR(AB55="Universal / núcleo",AB55="Consolidada",AE55="Alta"),"Alta",IF(OR(AD55&lt;&gt;"",AE55="Media"),"Media","Baja"))))</x:f>
        <x:v>Media</x:v>
      </x:c>
      <x:c r="AH55" s="26" t="str">
        <x:v>Comparar con la malla EPN Agro antes de decidir mantener/reforzar/integrar/añadir.</x:v>
      </x:c>
    </x:row>
    <x:row r="56">
      <x:c r="A56" s="26" t="str">
        <x:v>A07</x:v>
      </x:c>
      <x:c r="B56" s="26" t="str">
        <x:v>Tecnologías Sectoriales Agroalimentarias</x:v>
      </x:c>
      <x:c r="C56" s="26" t="str">
        <x:v>S23</x:v>
      </x:c>
      <x:c r="D56" s="26" t="str">
        <x:v>Otras cadenas</x:v>
      </x:c>
      <x:c r="E56" s="26" t="str">
        <x:v>F0709</x:v>
      </x:c>
      <x:c r="F56" s="26" t="str">
        <x:v>Alimentos alternativos y proteínas emergentes</x:v>
      </x:c>
      <x:c r="G56" s="26" t="str">
        <x:v>Alternativas vegetales y nuevas proteínas.</x:v>
      </x:c>
      <x:c r="H56" s="26" t="n">
        <x:f>COUNTIF('04_Presencia_Curriculos'!D56:X56,"&gt;0")</x:f>
        <x:v>2</x:v>
      </x:c>
      <x:c r="I56" s="32" t="n">
        <x:f>H56/'01_Metodologia'!$F$4</x:f>
        <x:v>0.09523809523809523</x:v>
      </x:c>
      <x:c r="J56" s="26" t="n">
        <x:f>COUNTIF('04_Presencia_Curriculos'!D56:Q56,"&gt;0")</x:f>
        <x:v>1</x:v>
      </x:c>
      <x:c r="K56" s="32" t="n">
        <x:f>J56/'01_Metodologia'!$F$5</x:f>
        <x:v>0.07142857142857142</x:v>
      </x:c>
      <x:c r="L56" s="26" t="n">
        <x:f>COUNTIF('04_Presencia_Curriculos'!D56:P56,"&gt;0")</x:f>
        <x:v>1</x:v>
      </x:c>
      <x:c r="M56" s="32" t="n">
        <x:f>L56/'01_Metodologia'!$F$6</x:f>
        <x:v>0.07692307692307693</x:v>
      </x:c>
      <x:c r="N56" s="26" t="n">
        <x:f>COUNTIF('04_Presencia_Curriculos'!D56:P56,2)</x:f>
        <x:v>0</x:v>
      </x:c>
      <x:c r="O56" s="32" t="n">
        <x:f>N56/'01_Metodologia'!$F$6</x:f>
        <x:v>0</x:v>
      </x:c>
      <x:c r="P56" s="26" t="n">
        <x:f>COUNTIF('04_Presencia_Curriculos'!D56:P56,1)</x:f>
        <x:v>1</x:v>
      </x:c>
      <x:c r="Q56" s="26" t="n">
        <x:f>COUNTIF('04_Presencia_Curriculos'!R56:X56,"&gt;0")</x:f>
        <x:v>1</x:v>
      </x:c>
      <x:c r="R56" s="32" t="n">
        <x:f>Q56/'01_Metodologia'!$F$7</x:f>
        <x:v>0.14285714285714285</x:v>
      </x:c>
      <x:c r="S56" s="36" t="n">
        <x:v>0</x:v>
      </x:c>
      <x:c r="T56" s="32" t="n">
        <x:f>AVERAGE('05_Peso_Creditos_Core'!D56:O56)</x:f>
        <x:v>0</x:v>
      </x:c>
      <x:c r="U56" s="32" t="n">
        <x:f>MEDIAN('05_Peso_Creditos_Core'!D56:O56)</x:f>
        <x:v>0</x:v>
      </x:c>
      <x:c r="V56" s="34" t="n">
        <x:f>IF(COUNT('06_Posicion_Core'!D56:P56)=0,"",MEDIAN('06_Posicion_Core'!D56:P56))</x:f>
        <x:v>75</x:v>
      </x:c>
      <x:c r="W56" s="26" t="str">
        <x:f>IF(V56="","NR",IF(V56&lt;=25,"E1 Fundamentos",IF(V56&lt;=50,"E2 Fundamentos de ingeniería",IF(V56&lt;=75,"E3 Formación profesional","E4 Integración/especialización"))))</x:f>
        <x:v>E3 Formación profesional</x:v>
      </x:c>
      <x:c r="X56" s="26" t="n">
        <x:f>IF(COUNT('07_Profundidad_Core'!D56:P56)=0,"",MEDIAN('07_Profundidad_Core'!D56:P56))</x:f>
        <x:v>2</x:v>
      </x:c>
      <x:c r="Y56" s="26" t="str">
        <x:f>IF(X56="","NR",IF(X56=INT(X56),"N"&amp;TEXT(X56,"0"),"N"&amp;TEXT(INT(X56),"0")&amp;"–N"&amp;TEXT(INT(X56)+1,"0")))</x:f>
        <x:v>N2</x:v>
      </x:c>
      <x:c r="Z56" s="32" t="n">
        <x:v>0</x:v>
      </x:c>
      <x:c r="AA56" s="32" t="n">
        <x:v>0</x:v>
      </x:c>
      <x:c r="AB56" s="26" t="str">
        <x:f>IF(M56&gt;=0.75,"Universal / núcleo",IF(M56&gt;=0.5,"Consolidada",IF(M56&gt;=0.25,"Selectiva","Baja prevalencia")))</x:f>
        <x:v>Baja prevalencia</x:v>
      </x:c>
      <x:c r="AC56" s="26" t="str">
        <x:v>Sí</x:v>
      </x:c>
      <x:c r="AD56" s="26" t="str">
        <x:f>IF(AND(AC56="Sí",L56&gt;=2,M56&lt;0.5,V56&gt;=45),"Emergente en grado",IF(AND(AC56="Sí",L56&lt;=1,Q56&gt;=2),"Emergente desde nivel avanzado",IF(AND(M56&lt;0.25,L56&gt;=1),"Nicho / especialización","")))</x:f>
        <x:v>Nicho / especialización</x:v>
      </x:c>
      <x:c r="AE56" s="26" t="str"/>
      <x:c r="AF56" s="26" t="str"/>
      <x:c r="AG56" s="26" t="str">
        <x:f>IF(AND(AB56="Universal / núcleo",AE56="Alta"),"Muy alta",IF(AND(OR(AD56="Emergente en grado",AD56="Emergente desde nivel avanzado"),AE56="Alta"),"Muy alta",IF(OR(AB56="Universal / núcleo",AB56="Consolidada",AE56="Alta"),"Alta",IF(OR(AD56&lt;&gt;"",AE56="Media"),"Media","Baja"))))</x:f>
        <x:v>Media</x:v>
      </x:c>
      <x:c r="AH56" s="26" t="str">
        <x:v>Comparar con la malla EPN Agro antes de decidir mantener/reforzar/integrar/añadir.</x:v>
      </x:c>
    </x:row>
    <x:row r="57">
      <x:c r="A57" s="26" t="str">
        <x:v>A07</x:v>
      </x:c>
      <x:c r="B57" s="26" t="str">
        <x:v>Tecnologías Sectoriales Agroalimentarias</x:v>
      </x:c>
      <x:c r="C57" s="26" t="str">
        <x:v>S23</x:v>
      </x:c>
      <x:c r="D57" s="26" t="str">
        <x:v>Otras cadenas</x:v>
      </x:c>
      <x:c r="E57" s="26" t="str">
        <x:v>F0710</x:v>
      </x:c>
      <x:c r="F57" s="26" t="str">
        <x:v>Otras industrias alimentarias y extractivas</x:v>
      </x:c>
      <x:c r="G57" s="26" t="str">
        <x:v>Otras cadenas/industrias alimentarias.</x:v>
      </x:c>
      <x:c r="H57" s="26" t="n">
        <x:f>COUNTIF('04_Presencia_Curriculos'!D57:X57,"&gt;0")</x:f>
        <x:v>4</x:v>
      </x:c>
      <x:c r="I57" s="32" t="n">
        <x:f>H57/'01_Metodologia'!$F$4</x:f>
        <x:v>0.19047619047619047</x:v>
      </x:c>
      <x:c r="J57" s="26" t="n">
        <x:f>COUNTIF('04_Presencia_Curriculos'!D57:Q57,"&gt;0")</x:f>
        <x:v>3</x:v>
      </x:c>
      <x:c r="K57" s="32" t="n">
        <x:f>J57/'01_Metodologia'!$F$5</x:f>
        <x:v>0.21428571428571427</x:v>
      </x:c>
      <x:c r="L57" s="26" t="n">
        <x:f>COUNTIF('04_Presencia_Curriculos'!D57:P57,"&gt;0")</x:f>
        <x:v>3</x:v>
      </x:c>
      <x:c r="M57" s="32" t="n">
        <x:f>L57/'01_Metodologia'!$F$6</x:f>
        <x:v>0.23076923076923078</x:v>
      </x:c>
      <x:c r="N57" s="26" t="n">
        <x:f>COUNTIF('04_Presencia_Curriculos'!D57:P57,2)</x:f>
        <x:v>2</x:v>
      </x:c>
      <x:c r="O57" s="32" t="n">
        <x:f>N57/'01_Metodologia'!$F$6</x:f>
        <x:v>0.15384615384615385</x:v>
      </x:c>
      <x:c r="P57" s="26" t="n">
        <x:f>COUNTIF('04_Presencia_Curriculos'!D57:P57,1)</x:f>
        <x:v>1</x:v>
      </x:c>
      <x:c r="Q57" s="26" t="n">
        <x:f>COUNTIF('04_Presencia_Curriculos'!R57:X57,"&gt;0")</x:f>
        <x:v>1</x:v>
      </x:c>
      <x:c r="R57" s="32" t="n">
        <x:f>Q57/'01_Metodologia'!$F$7</x:f>
        <x:v>0.14285714285714285</x:v>
      </x:c>
      <x:c r="S57" s="36" t="n">
        <x:v>0</x:v>
      </x:c>
      <x:c r="T57" s="32" t="n">
        <x:f>AVERAGE('05_Peso_Creditos_Core'!D57:O57)</x:f>
        <x:v>0</x:v>
      </x:c>
      <x:c r="U57" s="32" t="n">
        <x:f>MEDIAN('05_Peso_Creditos_Core'!D57:O57)</x:f>
        <x:v>0</x:v>
      </x:c>
      <x:c r="V57" s="34" t="n">
        <x:f>IF(COUNT('06_Posicion_Core'!D57:P57)=0,"",MEDIAN('06_Posicion_Core'!D57:P57))</x:f>
        <x:v>58.333333333333336</x:v>
      </x:c>
      <x:c r="W57" s="26" t="str">
        <x:f>IF(V57="","NR",IF(V57&lt;=25,"E1 Fundamentos",IF(V57&lt;=50,"E2 Fundamentos de ingeniería",IF(V57&lt;=75,"E3 Formación profesional","E4 Integración/especialización"))))</x:f>
        <x:v>E3 Formación profesional</x:v>
      </x:c>
      <x:c r="X57" s="26" t="n">
        <x:f>IF(COUNT('07_Profundidad_Core'!D57:P57)=0,"",MEDIAN('07_Profundidad_Core'!D57:P57))</x:f>
        <x:v>2</x:v>
      </x:c>
      <x:c r="Y57" s="26" t="str">
        <x:f>IF(X57="","NR",IF(X57=INT(X57),"N"&amp;TEXT(X57,"0"),"N"&amp;TEXT(INT(X57),"0")&amp;"–N"&amp;TEXT(INT(X57)+1,"0")))</x:f>
        <x:v>N2</x:v>
      </x:c>
      <x:c r="Z57" s="32" t="n">
        <x:v>0</x:v>
      </x:c>
      <x:c r="AA57" s="32" t="n">
        <x:v>0</x:v>
      </x:c>
      <x:c r="AB57" s="26" t="str">
        <x:f>IF(M57&gt;=0.75,"Universal / núcleo",IF(M57&gt;=0.5,"Consolidada",IF(M57&gt;=0.25,"Selectiva","Baja prevalencia")))</x:f>
        <x:v>Baja prevalencia</x:v>
      </x:c>
      <x:c r="AC57" s="26" t="str">
        <x:v>No</x:v>
      </x:c>
      <x:c r="AD57" s="26" t="str">
        <x:f>IF(AND(AC57="Sí",L57&gt;=2,M57&lt;0.5,V57&gt;=45),"Emergente en grado",IF(AND(AC57="Sí",L57&lt;=1,Q57&gt;=2),"Emergente desde nivel avanzado",IF(AND(M57&lt;0.25,L57&gt;=1),"Nicho / especialización","")))</x:f>
        <x:v>Nicho / especialización</x:v>
      </x:c>
      <x:c r="AE57" s="26" t="str"/>
      <x:c r="AF57" s="26" t="str"/>
      <x:c r="AG57" s="26" t="str">
        <x:f>IF(AND(AB57="Universal / núcleo",AE57="Alta"),"Muy alta",IF(AND(OR(AD57="Emergente en grado",AD57="Emergente desde nivel avanzado"),AE57="Alta"),"Muy alta",IF(OR(AB57="Universal / núcleo",AB57="Consolidada",AE57="Alta"),"Alta",IF(OR(AD57&lt;&gt;"",AE57="Media"),"Media","Baja"))))</x:f>
        <x:v>Media</x:v>
      </x:c>
      <x:c r="AH57" s="26" t="str">
        <x:v>Comparar con la malla EPN Agro antes de decidir mantener/reforzar/integrar/añadir.</x:v>
      </x:c>
    </x:row>
    <x:row r="58">
      <x:c r="A58" s="26" t="str">
        <x:v>A08</x:v>
      </x:c>
      <x:c r="B58" s="26" t="str">
        <x:v>Calidad, Inocuidad, Análisis y Regulación</x:v>
      </x:c>
      <x:c r="C58" s="26" t="str">
        <x:v>S24</x:v>
      </x:c>
      <x:c r="D58" s="26" t="str">
        <x:v>Análisis</x:v>
      </x:c>
      <x:c r="E58" s="26" t="str">
        <x:v>F0801</x:v>
      </x:c>
      <x:c r="F58" s="26" t="str">
        <x:v>Análisis químico, físico e instrumental de alimentos</x:v>
      </x:c>
      <x:c r="G58" s="26" t="str">
        <x:v>Métodos de análisis de alimentos.</x:v>
      </x:c>
      <x:c r="H58" s="26" t="n">
        <x:f>COUNTIF('04_Presencia_Curriculos'!D58:X58,"&gt;0")</x:f>
        <x:v>7</x:v>
      </x:c>
      <x:c r="I58" s="32" t="n">
        <x:f>H58/'01_Metodologia'!$F$4</x:f>
        <x:v>0.3333333333333333</x:v>
      </x:c>
      <x:c r="J58" s="26" t="n">
        <x:f>COUNTIF('04_Presencia_Curriculos'!D58:Q58,"&gt;0")</x:f>
        <x:v>7</x:v>
      </x:c>
      <x:c r="K58" s="32" t="n">
        <x:f>J58/'01_Metodologia'!$F$5</x:f>
        <x:v>0.5</x:v>
      </x:c>
      <x:c r="L58" s="26" t="n">
        <x:f>COUNTIF('04_Presencia_Curriculos'!D58:P58,"&gt;0")</x:f>
        <x:v>7</x:v>
      </x:c>
      <x:c r="M58" s="32" t="n">
        <x:f>L58/'01_Metodologia'!$F$6</x:f>
        <x:v>0.5384615384615384</x:v>
      </x:c>
      <x:c r="N58" s="26" t="n">
        <x:f>COUNTIF('04_Presencia_Curriculos'!D58:P58,2)</x:f>
        <x:v>7</x:v>
      </x:c>
      <x:c r="O58" s="32" t="n">
        <x:f>N58/'01_Metodologia'!$F$6</x:f>
        <x:v>0.5384615384615384</x:v>
      </x:c>
      <x:c r="P58" s="26" t="n">
        <x:f>COUNTIF('04_Presencia_Curriculos'!D58:P58,1)</x:f>
        <x:v>0</x:v>
      </x:c>
      <x:c r="Q58" s="26" t="n">
        <x:f>COUNTIF('04_Presencia_Curriculos'!R58:X58,"&gt;0")</x:f>
        <x:v>0</x:v>
      </x:c>
      <x:c r="R58" s="32" t="n">
        <x:f>Q58/'01_Metodologia'!$F$7</x:f>
        <x:v>0</x:v>
      </x:c>
      <x:c r="S58" s="36" t="n">
        <x:v>2.8333333333333335</x:v>
      </x:c>
      <x:c r="T58" s="32" t="n">
        <x:f>AVERAGE('05_Peso_Creditos_Core'!D58:O58)</x:f>
        <x:v>0.014351851851851852</x:v>
      </x:c>
      <x:c r="U58" s="32" t="n">
        <x:f>MEDIAN('05_Peso_Creditos_Core'!D58:O58)</x:f>
        <x:v>0.0125</x:v>
      </x:c>
      <x:c r="V58" s="34" t="n">
        <x:f>IF(COUNT('06_Posicion_Core'!D58:P58)=0,"",MEDIAN('06_Posicion_Core'!D58:P58))</x:f>
        <x:v>75</x:v>
      </x:c>
      <x:c r="W58" s="26" t="str">
        <x:f>IF(V58="","NR",IF(V58&lt;=25,"E1 Fundamentos",IF(V58&lt;=50,"E2 Fundamentos de ingeniería",IF(V58&lt;=75,"E3 Formación profesional","E4 Integración/especialización"))))</x:f>
        <x:v>E3 Formación profesional</x:v>
      </x:c>
      <x:c r="X58" s="26" t="n">
        <x:f>IF(COUNT('07_Profundidad_Core'!D58:P58)=0,"",MEDIAN('07_Profundidad_Core'!D58:P58))</x:f>
        <x:v>2</x:v>
      </x:c>
      <x:c r="Y58" s="26" t="str">
        <x:f>IF(X58="","NR",IF(X58=INT(X58),"N"&amp;TEXT(X58,"0"),"N"&amp;TEXT(INT(X58),"0")&amp;"–N"&amp;TEXT(INT(X58)+1,"0")))</x:f>
        <x:v>N2</x:v>
      </x:c>
      <x:c r="Z58" s="32" t="n">
        <x:v>0.14285714285714285</x:v>
      </x:c>
      <x:c r="AA58" s="32" t="n">
        <x:v>0</x:v>
      </x:c>
      <x:c r="AB58" s="26" t="str">
        <x:f>IF(M58&gt;=0.75,"Universal / núcleo",IF(M58&gt;=0.5,"Consolidada",IF(M58&gt;=0.25,"Selectiva","Baja prevalencia")))</x:f>
        <x:v>Consolidada</x:v>
      </x:c>
      <x:c r="AC58" s="26" t="str">
        <x:v>No</x:v>
      </x:c>
      <x:c r="AD58" s="26" t="str">
        <x:f>IF(AND(AC58="Sí",L58&gt;=2,M58&lt;0.5,V58&gt;=45),"Emergente en grado",IF(AND(AC58="Sí",L58&lt;=1,Q58&gt;=2),"Emergente desde nivel avanzado",IF(AND(M58&lt;0.25,L58&gt;=1),"Nicho / especialización","")))</x:f>
      </x:c>
      <x:c r="AE58" s="26" t="str"/>
      <x:c r="AF58" s="26" t="str"/>
      <x:c r="AG58" s="26" t="str">
        <x:f>IF(AND(AB58="Universal / núcleo",AE58="Alta"),"Muy alta",IF(AND(OR(AD58="Emergente en grado",AD58="Emergente desde nivel avanzado"),AE58="Alta"),"Muy alta",IF(OR(AB58="Universal / núcleo",AB58="Consolidada",AE58="Alta"),"Alta",IF(OR(AD58&lt;&gt;"",AE58="Media"),"Media","Baja"))))</x:f>
        <x:v>Alta</x:v>
      </x:c>
      <x:c r="AH58" s="26" t="str">
        <x:v>Comparar con la malla EPN Agro antes de decidir mantener/reforzar/integrar/añadir.</x:v>
      </x:c>
    </x:row>
    <x:row r="59">
      <x:c r="A59" s="26" t="str">
        <x:v>A08</x:v>
      </x:c>
      <x:c r="B59" s="26" t="str">
        <x:v>Calidad, Inocuidad, Análisis y Regulación</x:v>
      </x:c>
      <x:c r="C59" s="26" t="str">
        <x:v>S24</x:v>
      </x:c>
      <x:c r="D59" s="26" t="str">
        <x:v>Análisis</x:v>
      </x:c>
      <x:c r="E59" s="26" t="str">
        <x:v>F0802</x:v>
      </x:c>
      <x:c r="F59" s="26" t="str">
        <x:v>Análisis sensorial y evaluación organoléptica</x:v>
      </x:c>
      <x:c r="G59" s="26" t="str">
        <x:v>Métodos sensoriales.</x:v>
      </x:c>
      <x:c r="H59" s="26" t="n">
        <x:f>COUNTIF('04_Presencia_Curriculos'!D59:X59,"&gt;0")</x:f>
        <x:v>6</x:v>
      </x:c>
      <x:c r="I59" s="32" t="n">
        <x:f>H59/'01_Metodologia'!$F$4</x:f>
        <x:v>0.2857142857142857</x:v>
      </x:c>
      <x:c r="J59" s="26" t="n">
        <x:f>COUNTIF('04_Presencia_Curriculos'!D59:Q59,"&gt;0")</x:f>
        <x:v>5</x:v>
      </x:c>
      <x:c r="K59" s="32" t="n">
        <x:f>J59/'01_Metodologia'!$F$5</x:f>
        <x:v>0.35714285714285715</x:v>
      </x:c>
      <x:c r="L59" s="26" t="n">
        <x:f>COUNTIF('04_Presencia_Curriculos'!D59:P59,"&gt;0")</x:f>
        <x:v>5</x:v>
      </x:c>
      <x:c r="M59" s="32" t="n">
        <x:f>L59/'01_Metodologia'!$F$6</x:f>
        <x:v>0.38461538461538464</x:v>
      </x:c>
      <x:c r="N59" s="26" t="n">
        <x:f>COUNTIF('04_Presencia_Curriculos'!D59:P59,2)</x:f>
        <x:v>3</x:v>
      </x:c>
      <x:c r="O59" s="32" t="n">
        <x:f>N59/'01_Metodologia'!$F$6</x:f>
        <x:v>0.23076923076923078</x:v>
      </x:c>
      <x:c r="P59" s="26" t="n">
        <x:f>COUNTIF('04_Presencia_Curriculos'!D59:P59,1)</x:f>
        <x:v>2</x:v>
      </x:c>
      <x:c r="Q59" s="26" t="n">
        <x:f>COUNTIF('04_Presencia_Curriculos'!R59:X59,"&gt;0")</x:f>
        <x:v>1</x:v>
      </x:c>
      <x:c r="R59" s="32" t="n">
        <x:f>Q59/'01_Metodologia'!$F$7</x:f>
        <x:v>0.14285714285714285</x:v>
      </x:c>
      <x:c r="S59" s="36" t="n">
        <x:v>1.1666666666666667</x:v>
      </x:c>
      <x:c r="T59" s="32" t="n">
        <x:f>AVERAGE('05_Peso_Creditos_Core'!D59:O59)</x:f>
        <x:v>0.0061342592592592594</x:v>
      </x:c>
      <x:c r="U59" s="32" t="n">
        <x:f>MEDIAN('05_Peso_Creditos_Core'!D59:O59)</x:f>
        <x:v>0</x:v>
      </x:c>
      <x:c r="V59" s="34" t="n">
        <x:f>IF(COUNT('06_Posicion_Core'!D59:P59)=0,"",MEDIAN('06_Posicion_Core'!D59:P59))</x:f>
        <x:v>68.75</x:v>
      </x:c>
      <x:c r="W59" s="26" t="str">
        <x:f>IF(V59="","NR",IF(V59&lt;=25,"E1 Fundamentos",IF(V59&lt;=50,"E2 Fundamentos de ingeniería",IF(V59&lt;=75,"E3 Formación profesional","E4 Integración/especialización"))))</x:f>
        <x:v>E3 Formación profesional</x:v>
      </x:c>
      <x:c r="X59" s="26" t="n">
        <x:f>IF(COUNT('07_Profundidad_Core'!D59:P59)=0,"",MEDIAN('07_Profundidad_Core'!D59:P59))</x:f>
        <x:v>2</x:v>
      </x:c>
      <x:c r="Y59" s="26" t="str">
        <x:f>IF(X59="","NR",IF(X59=INT(X59),"N"&amp;TEXT(X59,"0"),"N"&amp;TEXT(INT(X59),"0")&amp;"–N"&amp;TEXT(INT(X59)+1,"0")))</x:f>
        <x:v>N2</x:v>
      </x:c>
      <x:c r="Z59" s="32" t="n">
        <x:v>0.2</x:v>
      </x:c>
      <x:c r="AA59" s="32" t="n">
        <x:v>0</x:v>
      </x:c>
      <x:c r="AB59" s="26" t="str">
        <x:f>IF(M59&gt;=0.75,"Universal / núcleo",IF(M59&gt;=0.5,"Consolidada",IF(M59&gt;=0.25,"Selectiva","Baja prevalencia")))</x:f>
        <x:v>Selectiva</x:v>
      </x:c>
      <x:c r="AC59" s="26" t="str">
        <x:v>No</x:v>
      </x:c>
      <x:c r="AD59" s="26" t="str">
        <x:f>IF(AND(AC59="Sí",L59&gt;=2,M59&lt;0.5,V59&gt;=45),"Emergente en grado",IF(AND(AC59="Sí",L59&lt;=1,Q59&gt;=2),"Emergente desde nivel avanzado",IF(AND(M59&lt;0.25,L59&gt;=1),"Nicho / especialización","")))</x:f>
      </x:c>
      <x:c r="AE59" s="26" t="str"/>
      <x:c r="AF59" s="26" t="str"/>
      <x:c r="AG59" s="26" t="str">
        <x:f>IF(AND(AB59="Universal / núcleo",AE59="Alta"),"Muy alta",IF(AND(OR(AD59="Emergente en grado",AD59="Emergente desde nivel avanzado"),AE59="Alta"),"Muy alta",IF(OR(AB59="Universal / núcleo",AB59="Consolidada",AE59="Alta"),"Alta",IF(OR(AD59&lt;&gt;"",AE59="Media"),"Media","Baja"))))</x:f>
        <x:v>Baja</x:v>
      </x:c>
      <x:c r="AH59" s="26" t="str">
        <x:v>Comparar con la malla EPN Agro antes de decidir mantener/reforzar/integrar/añadir.</x:v>
      </x:c>
    </x:row>
    <x:row r="60">
      <x:c r="A60" s="26" t="str">
        <x:v>A08</x:v>
      </x:c>
      <x:c r="B60" s="26" t="str">
        <x:v>Calidad, Inocuidad, Análisis y Regulación</x:v>
      </x:c>
      <x:c r="C60" s="26" t="str">
        <x:v>S25</x:v>
      </x:c>
      <x:c r="D60" s="26" t="str">
        <x:v>Calidad e inocuidad</x:v>
      </x:c>
      <x:c r="E60" s="26" t="str">
        <x:v>F0803</x:v>
      </x:c>
      <x:c r="F60" s="26" t="str">
        <x:v>Gestión y aseguramiento de la calidad</x:v>
      </x:c>
      <x:c r="G60" s="26" t="str">
        <x:v>Sistemas de calidad y QA/QC.</x:v>
      </x:c>
      <x:c r="H60" s="26" t="n">
        <x:f>COUNTIF('04_Presencia_Curriculos'!D60:X60,"&gt;0")</x:f>
        <x:v>13</x:v>
      </x:c>
      <x:c r="I60" s="32" t="n">
        <x:f>H60/'01_Metodologia'!$F$4</x:f>
        <x:v>0.6190476190476191</x:v>
      </x:c>
      <x:c r="J60" s="26" t="n">
        <x:f>COUNTIF('04_Presencia_Curriculos'!D60:Q60,"&gt;0")</x:f>
        <x:v>11</x:v>
      </x:c>
      <x:c r="K60" s="32" t="n">
        <x:f>J60/'01_Metodologia'!$F$5</x:f>
        <x:v>0.7857142857142857</x:v>
      </x:c>
      <x:c r="L60" s="26" t="n">
        <x:f>COUNTIF('04_Presencia_Curriculos'!D60:P60,"&gt;0")</x:f>
        <x:v>11</x:v>
      </x:c>
      <x:c r="M60" s="32" t="n">
        <x:f>L60/'01_Metodologia'!$F$6</x:f>
        <x:v>0.8461538461538461</x:v>
      </x:c>
      <x:c r="N60" s="26" t="n">
        <x:f>COUNTIF('04_Presencia_Curriculos'!D60:P60,2)</x:f>
        <x:v>10</x:v>
      </x:c>
      <x:c r="O60" s="32" t="n">
        <x:f>N60/'01_Metodologia'!$F$6</x:f>
        <x:v>0.7692307692307693</x:v>
      </x:c>
      <x:c r="P60" s="26" t="n">
        <x:f>COUNTIF('04_Presencia_Curriculos'!D60:P60,1)</x:f>
        <x:v>1</x:v>
      </x:c>
      <x:c r="Q60" s="26" t="n">
        <x:f>COUNTIF('04_Presencia_Curriculos'!R60:X60,"&gt;0")</x:f>
        <x:v>2</x:v>
      </x:c>
      <x:c r="R60" s="32" t="n">
        <x:f>Q60/'01_Metodologia'!$F$7</x:f>
        <x:v>0.2857142857142857</x:v>
      </x:c>
      <x:c r="S60" s="36" t="n">
        <x:v>4.833333333333333</x:v>
      </x:c>
      <x:c r="T60" s="32" t="n">
        <x:f>AVERAGE('05_Peso_Creditos_Core'!D60:O60)</x:f>
        <x:v>0.024652777777777773</x:v>
      </x:c>
      <x:c r="U60" s="32" t="n">
        <x:f>MEDIAN('05_Peso_Creditos_Core'!D60:O60)</x:f>
        <x:v>0.020833333333333336</x:v>
      </x:c>
      <x:c r="V60" s="34" t="n">
        <x:f>IF(COUNT('06_Posicion_Core'!D60:P60)=0,"",MEDIAN('06_Posicion_Core'!D60:P60))</x:f>
        <x:v>75</x:v>
      </x:c>
      <x:c r="W60" s="26" t="str">
        <x:f>IF(V60="","NR",IF(V60&lt;=25,"E1 Fundamentos",IF(V60&lt;=50,"E2 Fundamentos de ingeniería",IF(V60&lt;=75,"E3 Formación profesional","E4 Integración/especialización"))))</x:f>
        <x:v>E3 Formación profesional</x:v>
      </x:c>
      <x:c r="X60" s="26" t="n">
        <x:f>IF(COUNT('07_Profundidad_Core'!D60:P60)=0,"",MEDIAN('07_Profundidad_Core'!D60:P60))</x:f>
        <x:v>2</x:v>
      </x:c>
      <x:c r="Y60" s="26" t="str">
        <x:f>IF(X60="","NR",IF(X60=INT(X60),"N"&amp;TEXT(X60,"0"),"N"&amp;TEXT(INT(X60),"0")&amp;"–N"&amp;TEXT(INT(X60)+1,"0")))</x:f>
        <x:v>N2</x:v>
      </x:c>
      <x:c r="Z60" s="32" t="n">
        <x:v>0</x:v>
      </x:c>
      <x:c r="AA60" s="32" t="n">
        <x:v>0</x:v>
      </x:c>
      <x:c r="AB60" s="26" t="str">
        <x:f>IF(M60&gt;=0.75,"Universal / núcleo",IF(M60&gt;=0.5,"Consolidada",IF(M60&gt;=0.25,"Selectiva","Baja prevalencia")))</x:f>
        <x:v>Universal / núcleo</x:v>
      </x:c>
      <x:c r="AC60" s="26" t="str">
        <x:v>No</x:v>
      </x:c>
      <x:c r="AD60" s="26" t="str">
        <x:f>IF(AND(AC60="Sí",L60&gt;=2,M60&lt;0.5,V60&gt;=45),"Emergente en grado",IF(AND(AC60="Sí",L60&lt;=1,Q60&gt;=2),"Emergente desde nivel avanzado",IF(AND(M60&lt;0.25,L60&gt;=1),"Nicho / especialización","")))</x:f>
      </x:c>
      <x:c r="AE60" s="26" t="str">
        <x:v>Alta</x:v>
      </x:c>
      <x:c r="AF60" s="26" t="str">
        <x:v>Calidad, inocuidad y BPM</x:v>
      </x:c>
      <x:c r="AG60" s="26" t="str">
        <x:f>IF(AND(AB60="Universal / núcleo",AE60="Alta"),"Muy alta",IF(AND(OR(AD60="Emergente en grado",AD60="Emergente desde nivel avanzado"),AE60="Alta"),"Muy alta",IF(OR(AB60="Universal / núcleo",AB60="Consolidada",AE60="Alta"),"Alta",IF(OR(AD60&lt;&gt;"",AE60="Media"),"Media","Baja"))))</x:f>
        <x:v>Muy alta</x:v>
      </x:c>
      <x:c r="AH60" s="26" t="str">
        <x:v>Comparar con la malla EPN Agro antes de decidir mantener/reforzar/integrar/añadir.</x:v>
      </x:c>
    </x:row>
    <x:row r="61">
      <x:c r="A61" s="26" t="str">
        <x:v>A08</x:v>
      </x:c>
      <x:c r="B61" s="26" t="str">
        <x:v>Calidad, Inocuidad, Análisis y Regulación</x:v>
      </x:c>
      <x:c r="C61" s="26" t="str">
        <x:v>S25</x:v>
      </x:c>
      <x:c r="D61" s="26" t="str">
        <x:v>Calidad e inocuidad</x:v>
      </x:c>
      <x:c r="E61" s="26" t="str">
        <x:v>F0804</x:v>
      </x:c>
      <x:c r="F61" s="26" t="str">
        <x:v>Inocuidad y seguridad alimentaria / HACCP</x:v>
      </x:c>
      <x:c r="G61" s="26" t="str">
        <x:v>Peligros, riesgos, HACCP y food safety.</x:v>
      </x:c>
      <x:c r="H61" s="26" t="n">
        <x:f>COUNTIF('04_Presencia_Curriculos'!D61:X61,"&gt;0")</x:f>
        <x:v>6</x:v>
      </x:c>
      <x:c r="I61" s="32" t="n">
        <x:f>H61/'01_Metodologia'!$F$4</x:f>
        <x:v>0.2857142857142857</x:v>
      </x:c>
      <x:c r="J61" s="26" t="n">
        <x:f>COUNTIF('04_Presencia_Curriculos'!D61:Q61,"&gt;0")</x:f>
        <x:v>5</x:v>
      </x:c>
      <x:c r="K61" s="32" t="n">
        <x:f>J61/'01_Metodologia'!$F$5</x:f>
        <x:v>0.35714285714285715</x:v>
      </x:c>
      <x:c r="L61" s="26" t="n">
        <x:f>COUNTIF('04_Presencia_Curriculos'!D61:P61,"&gt;0")</x:f>
        <x:v>5</x:v>
      </x:c>
      <x:c r="M61" s="32" t="n">
        <x:f>L61/'01_Metodologia'!$F$6</x:f>
        <x:v>0.38461538461538464</x:v>
      </x:c>
      <x:c r="N61" s="26" t="n">
        <x:f>COUNTIF('04_Presencia_Curriculos'!D61:P61,2)</x:f>
        <x:v>5</x:v>
      </x:c>
      <x:c r="O61" s="32" t="n">
        <x:f>N61/'01_Metodologia'!$F$6</x:f>
        <x:v>0.38461538461538464</x:v>
      </x:c>
      <x:c r="P61" s="26" t="n">
        <x:f>COUNTIF('04_Presencia_Curriculos'!D61:P61,1)</x:f>
        <x:v>0</x:v>
      </x:c>
      <x:c r="Q61" s="26" t="n">
        <x:f>COUNTIF('04_Presencia_Curriculos'!R61:X61,"&gt;0")</x:f>
        <x:v>1</x:v>
      </x:c>
      <x:c r="R61" s="32" t="n">
        <x:f>Q61/'01_Metodologia'!$F$7</x:f>
        <x:v>0.14285714285714285</x:v>
      </x:c>
      <x:c r="S61" s="36" t="n">
        <x:v>1.75</x:v>
      </x:c>
      <x:c r="T61" s="32" t="n">
        <x:f>AVERAGE('05_Peso_Creditos_Core'!D61:O61)</x:f>
        <x:v>0.008680555555555554</x:v>
      </x:c>
      <x:c r="U61" s="32" t="n">
        <x:f>MEDIAN('05_Peso_Creditos_Core'!D61:O61)</x:f>
        <x:v>0</x:v>
      </x:c>
      <x:c r="V61" s="34" t="n">
        <x:f>IF(COUNT('06_Posicion_Core'!D61:P61)=0,"",MEDIAN('06_Posicion_Core'!D61:P61))</x:f>
        <x:v>81.25</x:v>
      </x:c>
      <x:c r="W61" s="26" t="str">
        <x:f>IF(V61="","NR",IF(V61&lt;=25,"E1 Fundamentos",IF(V61&lt;=50,"E2 Fundamentos de ingeniería",IF(V61&lt;=75,"E3 Formación profesional","E4 Integración/especialización"))))</x:f>
        <x:v>E4 Integración/especialización</x:v>
      </x:c>
      <x:c r="X61" s="26" t="n">
        <x:f>IF(COUNT('07_Profundidad_Core'!D61:P61)=0,"",MEDIAN('07_Profundidad_Core'!D61:P61))</x:f>
        <x:v>2</x:v>
      </x:c>
      <x:c r="Y61" s="26" t="str">
        <x:f>IF(X61="","NR",IF(X61=INT(X61),"N"&amp;TEXT(X61,"0"),"N"&amp;TEXT(INT(X61),"0")&amp;"–N"&amp;TEXT(INT(X61)+1,"0")))</x:f>
        <x:v>N2</x:v>
      </x:c>
      <x:c r="Z61" s="32" t="n">
        <x:v>0</x:v>
      </x:c>
      <x:c r="AA61" s="32" t="n">
        <x:v>0</x:v>
      </x:c>
      <x:c r="AB61" s="26" t="str">
        <x:f>IF(M61&gt;=0.75,"Universal / núcleo",IF(M61&gt;=0.5,"Consolidada",IF(M61&gt;=0.25,"Selectiva","Baja prevalencia")))</x:f>
        <x:v>Selectiva</x:v>
      </x:c>
      <x:c r="AC61" s="26" t="str">
        <x:v>No</x:v>
      </x:c>
      <x:c r="AD61" s="26" t="str">
        <x:f>IF(AND(AC61="Sí",L61&gt;=2,M61&lt;0.5,V61&gt;=45),"Emergente en grado",IF(AND(AC61="Sí",L61&lt;=1,Q61&gt;=2),"Emergente desde nivel avanzado",IF(AND(M61&lt;0.25,L61&gt;=1),"Nicho / especialización","")))</x:f>
      </x:c>
      <x:c r="AE61" s="26" t="str">
        <x:v>Alta</x:v>
      </x:c>
      <x:c r="AF61" s="26" t="str">
        <x:v>Calidad, inocuidad y BPM</x:v>
      </x:c>
      <x:c r="AG61" s="26" t="str">
        <x:f>IF(AND(AB61="Universal / núcleo",AE61="Alta"),"Muy alta",IF(AND(OR(AD61="Emergente en grado",AD61="Emergente desde nivel avanzado"),AE61="Alta"),"Muy alta",IF(OR(AB61="Universal / núcleo",AB61="Consolidada",AE61="Alta"),"Alta",IF(OR(AD61&lt;&gt;"",AE61="Media"),"Media","Baja"))))</x:f>
        <x:v>Alta</x:v>
      </x:c>
      <x:c r="AH61" s="26" t="str">
        <x:v>Comparar con la malla EPN Agro antes de decidir mantener/reforzar/integrar/añadir.</x:v>
      </x:c>
    </x:row>
    <x:row r="62">
      <x:c r="A62" s="26" t="str">
        <x:v>A08</x:v>
      </x:c>
      <x:c r="B62" s="26" t="str">
        <x:v>Calidad, Inocuidad, Análisis y Regulación</x:v>
      </x:c>
      <x:c r="C62" s="26" t="str">
        <x:v>S25</x:v>
      </x:c>
      <x:c r="D62" s="26" t="str">
        <x:v>Calidad e inocuidad</x:v>
      </x:c>
      <x:c r="E62" s="26" t="str">
        <x:v>F0805</x:v>
      </x:c>
      <x:c r="F62" s="26" t="str">
        <x:v>Higiene, saneamiento y diseño higiénico</x:v>
      </x:c>
      <x:c r="G62" s="26" t="str">
        <x:v>Higiene, limpieza y diseño higiénico.</x:v>
      </x:c>
      <x:c r="H62" s="26" t="n">
        <x:f>COUNTIF('04_Presencia_Curriculos'!D62:X62,"&gt;0")</x:f>
        <x:v>3</x:v>
      </x:c>
      <x:c r="I62" s="32" t="n">
        <x:f>H62/'01_Metodologia'!$F$4</x:f>
        <x:v>0.14285714285714285</x:v>
      </x:c>
      <x:c r="J62" s="26" t="n">
        <x:f>COUNTIF('04_Presencia_Curriculos'!D62:Q62,"&gt;0")</x:f>
        <x:v>3</x:v>
      </x:c>
      <x:c r="K62" s="32" t="n">
        <x:f>J62/'01_Metodologia'!$F$5</x:f>
        <x:v>0.21428571428571427</x:v>
      </x:c>
      <x:c r="L62" s="26" t="n">
        <x:f>COUNTIF('04_Presencia_Curriculos'!D62:P62,"&gt;0")</x:f>
        <x:v>3</x:v>
      </x:c>
      <x:c r="M62" s="32" t="n">
        <x:f>L62/'01_Metodologia'!$F$6</x:f>
        <x:v>0.23076923076923078</x:v>
      </x:c>
      <x:c r="N62" s="26" t="n">
        <x:f>COUNTIF('04_Presencia_Curriculos'!D62:P62,2)</x:f>
        <x:v>3</x:v>
      </x:c>
      <x:c r="O62" s="32" t="n">
        <x:f>N62/'01_Metodologia'!$F$6</x:f>
        <x:v>0.23076923076923078</x:v>
      </x:c>
      <x:c r="P62" s="26" t="n">
        <x:f>COUNTIF('04_Presencia_Curriculos'!D62:P62,1)</x:f>
        <x:v>0</x:v>
      </x:c>
      <x:c r="Q62" s="26" t="n">
        <x:f>COUNTIF('04_Presencia_Curriculos'!R62:X62,"&gt;0")</x:f>
        <x:v>0</x:v>
      </x:c>
      <x:c r="R62" s="32" t="n">
        <x:f>Q62/'01_Metodologia'!$F$7</x:f>
        <x:v>0</x:v>
      </x:c>
      <x:c r="S62" s="36" t="n">
        <x:v>1.8333333333333333</x:v>
      </x:c>
      <x:c r="T62" s="32" t="n">
        <x:f>AVERAGE('05_Peso_Creditos_Core'!D62:O62)</x:f>
        <x:v>0.010185185185185184</x:v>
      </x:c>
      <x:c r="U62" s="32" t="n">
        <x:f>MEDIAN('05_Peso_Creditos_Core'!D62:O62)</x:f>
        <x:v>0</x:v>
      </x:c>
      <x:c r="V62" s="34" t="n">
        <x:f>IF(COUNT('06_Posicion_Core'!D62:P62)=0,"",MEDIAN('06_Posicion_Core'!D62:P62))</x:f>
        <x:v>91.66666666666666</x:v>
      </x:c>
      <x:c r="W62" s="26" t="str">
        <x:f>IF(V62="","NR",IF(V62&lt;=25,"E1 Fundamentos",IF(V62&lt;=50,"E2 Fundamentos de ingeniería",IF(V62&lt;=75,"E3 Formación profesional","E4 Integración/especialización"))))</x:f>
        <x:v>E4 Integración/especialización</x:v>
      </x:c>
      <x:c r="X62" s="26" t="n">
        <x:f>IF(COUNT('07_Profundidad_Core'!D62:P62)=0,"",MEDIAN('07_Profundidad_Core'!D62:P62))</x:f>
        <x:v>2</x:v>
      </x:c>
      <x:c r="Y62" s="26" t="str">
        <x:f>IF(X62="","NR",IF(X62=INT(X62),"N"&amp;TEXT(X62,"0"),"N"&amp;TEXT(INT(X62),"0")&amp;"–N"&amp;TEXT(INT(X62)+1,"0")))</x:f>
        <x:v>N2</x:v>
      </x:c>
      <x:c r="Z62" s="32" t="n">
        <x:v>0</x:v>
      </x:c>
      <x:c r="AA62" s="32" t="n">
        <x:v>0</x:v>
      </x:c>
      <x:c r="AB62" s="26" t="str">
        <x:f>IF(M62&gt;=0.75,"Universal / núcleo",IF(M62&gt;=0.5,"Consolidada",IF(M62&gt;=0.25,"Selectiva","Baja prevalencia")))</x:f>
        <x:v>Baja prevalencia</x:v>
      </x:c>
      <x:c r="AC62" s="26" t="str">
        <x:v>No</x:v>
      </x:c>
      <x:c r="AD62" s="26" t="str">
        <x:f>IF(AND(AC62="Sí",L62&gt;=2,M62&lt;0.5,V62&gt;=45),"Emergente en grado",IF(AND(AC62="Sí",L62&lt;=1,Q62&gt;=2),"Emergente desde nivel avanzado",IF(AND(M62&lt;0.25,L62&gt;=1),"Nicho / especialización","")))</x:f>
        <x:v>Nicho / especialización</x:v>
      </x:c>
      <x:c r="AE62" s="26" t="str">
        <x:v>Alta</x:v>
      </x:c>
      <x:c r="AF62" s="26" t="str">
        <x:v>Calidad, inocuidad y BPM</x:v>
      </x:c>
      <x:c r="AG62" s="26" t="str">
        <x:f>IF(AND(AB62="Universal / núcleo",AE62="Alta"),"Muy alta",IF(AND(OR(AD62="Emergente en grado",AD62="Emergente desde nivel avanzado"),AE62="Alta"),"Muy alta",IF(OR(AB62="Universal / núcleo",AB62="Consolidada",AE62="Alta"),"Alta",IF(OR(AD62&lt;&gt;"",AE62="Media"),"Media","Baja"))))</x:f>
        <x:v>Alta</x:v>
      </x:c>
      <x:c r="AH62" s="26" t="str">
        <x:v>Comparar con la malla EPN Agro antes de decidir mantener/reforzar/integrar/añadir.</x:v>
      </x:c>
    </x:row>
    <x:row r="63">
      <x:c r="A63" s="26" t="str">
        <x:v>A08</x:v>
      </x:c>
      <x:c r="B63" s="26" t="str">
        <x:v>Calidad, Inocuidad, Análisis y Regulación</x:v>
      </x:c>
      <x:c r="C63" s="26" t="str">
        <x:v>S26</x:v>
      </x:c>
      <x:c r="D63" s="26" t="str">
        <x:v>Regulación</x:v>
      </x:c>
      <x:c r="E63" s="26" t="str">
        <x:v>F0806</x:v>
      </x:c>
      <x:c r="F63" s="26" t="str">
        <x:v>Derecho, regulación y etiquetado alimentario</x:v>
      </x:c>
      <x:c r="G63" s="26" t="str">
        <x:v>Legislación y etiquetado alimentario.</x:v>
      </x:c>
      <x:c r="H63" s="26" t="n">
        <x:f>COUNTIF('04_Presencia_Curriculos'!D63:X63,"&gt;0")</x:f>
        <x:v>2</x:v>
      </x:c>
      <x:c r="I63" s="32" t="n">
        <x:f>H63/'01_Metodologia'!$F$4</x:f>
        <x:v>0.09523809523809523</x:v>
      </x:c>
      <x:c r="J63" s="26" t="n">
        <x:f>COUNTIF('04_Presencia_Curriculos'!D63:Q63,"&gt;0")</x:f>
        <x:v>2</x:v>
      </x:c>
      <x:c r="K63" s="32" t="n">
        <x:f>J63/'01_Metodologia'!$F$5</x:f>
        <x:v>0.14285714285714285</x:v>
      </x:c>
      <x:c r="L63" s="26" t="n">
        <x:f>COUNTIF('04_Presencia_Curriculos'!D63:P63,"&gt;0")</x:f>
        <x:v>2</x:v>
      </x:c>
      <x:c r="M63" s="32" t="n">
        <x:f>L63/'01_Metodologia'!$F$6</x:f>
        <x:v>0.15384615384615385</x:v>
      </x:c>
      <x:c r="N63" s="26" t="n">
        <x:f>COUNTIF('04_Presencia_Curriculos'!D63:P63,2)</x:f>
        <x:v>1</x:v>
      </x:c>
      <x:c r="O63" s="32" t="n">
        <x:f>N63/'01_Metodologia'!$F$6</x:f>
        <x:v>0.07692307692307693</x:v>
      </x:c>
      <x:c r="P63" s="26" t="n">
        <x:f>COUNTIF('04_Presencia_Curriculos'!D63:P63,1)</x:f>
        <x:v>1</x:v>
      </x:c>
      <x:c r="Q63" s="26" t="n">
        <x:f>COUNTIF('04_Presencia_Curriculos'!R63:X63,"&gt;0")</x:f>
        <x:v>0</x:v>
      </x:c>
      <x:c r="R63" s="32" t="n">
        <x:f>Q63/'01_Metodologia'!$F$7</x:f>
        <x:v>0</x:v>
      </x:c>
      <x:c r="S63" s="36" t="n">
        <x:v>0.5</x:v>
      </x:c>
      <x:c r="T63" s="32" t="n">
        <x:f>AVERAGE('05_Peso_Creditos_Core'!D63:O63)</x:f>
        <x:v>0.002777777777777778</x:v>
      </x:c>
      <x:c r="U63" s="32" t="n">
        <x:f>MEDIAN('05_Peso_Creditos_Core'!D63:O63)</x:f>
        <x:v>0</x:v>
      </x:c>
      <x:c r="V63" s="34" t="n">
        <x:f>IF(COUNT('06_Posicion_Core'!D63:P63)=0,"",MEDIAN('06_Posicion_Core'!D63:P63))</x:f>
        <x:v>66.66666666666667</x:v>
      </x:c>
      <x:c r="W63" s="26" t="str">
        <x:f>IF(V63="","NR",IF(V63&lt;=25,"E1 Fundamentos",IF(V63&lt;=50,"E2 Fundamentos de ingeniería",IF(V63&lt;=75,"E3 Formación profesional","E4 Integración/especialización"))))</x:f>
        <x:v>E3 Formación profesional</x:v>
      </x:c>
      <x:c r="X63" s="26" t="n">
        <x:f>IF(COUNT('07_Profundidad_Core'!D63:P63)=0,"",MEDIAN('07_Profundidad_Core'!D63:P63))</x:f>
        <x:v>2</x:v>
      </x:c>
      <x:c r="Y63" s="26" t="str">
        <x:f>IF(X63="","NR",IF(X63=INT(X63),"N"&amp;TEXT(X63,"0"),"N"&amp;TEXT(INT(X63),"0")&amp;"–N"&amp;TEXT(INT(X63)+1,"0")))</x:f>
        <x:v>N2</x:v>
      </x:c>
      <x:c r="Z63" s="32" t="n">
        <x:v>0</x:v>
      </x:c>
      <x:c r="AA63" s="32" t="n">
        <x:v>0</x:v>
      </x:c>
      <x:c r="AB63" s="26" t="str">
        <x:f>IF(M63&gt;=0.75,"Universal / núcleo",IF(M63&gt;=0.5,"Consolidada",IF(M63&gt;=0.25,"Selectiva","Baja prevalencia")))</x:f>
        <x:v>Baja prevalencia</x:v>
      </x:c>
      <x:c r="AC63" s="26" t="str">
        <x:v>No</x:v>
      </x:c>
      <x:c r="AD63" s="26" t="str">
        <x:f>IF(AND(AC63="Sí",L63&gt;=2,M63&lt;0.5,V63&gt;=45),"Emergente en grado",IF(AND(AC63="Sí",L63&lt;=1,Q63&gt;=2),"Emergente desde nivel avanzado",IF(AND(M63&lt;0.25,L63&gt;=1),"Nicho / especialización","")))</x:f>
        <x:v>Nicho / especialización</x:v>
      </x:c>
      <x:c r="AE63" s="26" t="str"/>
      <x:c r="AF63" s="26" t="str"/>
      <x:c r="AG63" s="26" t="str">
        <x:f>IF(AND(AB63="Universal / núcleo",AE63="Alta"),"Muy alta",IF(AND(OR(AD63="Emergente en grado",AD63="Emergente desde nivel avanzado"),AE63="Alta"),"Muy alta",IF(OR(AB63="Universal / núcleo",AB63="Consolidada",AE63="Alta"),"Alta",IF(OR(AD63&lt;&gt;"",AE63="Media"),"Media","Baja"))))</x:f>
        <x:v>Media</x:v>
      </x:c>
      <x:c r="AH63" s="26" t="str">
        <x:v>Comparar con la malla EPN Agro antes de decidir mantener/reforzar/integrar/añadir.</x:v>
      </x:c>
    </x:row>
    <x:row r="64">
      <x:c r="A64" s="26" t="str">
        <x:v>A08</x:v>
      </x:c>
      <x:c r="B64" s="26" t="str">
        <x:v>Calidad, Inocuidad, Análisis y Regulación</x:v>
      </x:c>
      <x:c r="C64" s="26" t="str">
        <x:v>S26</x:v>
      </x:c>
      <x:c r="D64" s="26" t="str">
        <x:v>Regulación</x:v>
      </x:c>
      <x:c r="E64" s="26" t="str">
        <x:v>F0807</x:v>
      </x:c>
      <x:c r="F64" s="26" t="str">
        <x:v>Trazabilidad, certificación y auditoría</x:v>
      </x:c>
      <x:c r="G64" s="26" t="str">
        <x:v>Trazabilidad y certificación.</x:v>
      </x:c>
      <x:c r="H64" s="26" t="n">
        <x:f>COUNTIF('04_Presencia_Curriculos'!D64:X64,"&gt;0")</x:f>
        <x:v>0</x:v>
      </x:c>
      <x:c r="I64" s="32" t="n">
        <x:f>H64/'01_Metodologia'!$F$4</x:f>
        <x:v>0</x:v>
      </x:c>
      <x:c r="J64" s="26" t="n">
        <x:f>COUNTIF('04_Presencia_Curriculos'!D64:Q64,"&gt;0")</x:f>
        <x:v>0</x:v>
      </x:c>
      <x:c r="K64" s="32" t="n">
        <x:f>J64/'01_Metodologia'!$F$5</x:f>
        <x:v>0</x:v>
      </x:c>
      <x:c r="L64" s="26" t="n">
        <x:f>COUNTIF('04_Presencia_Curriculos'!D64:P64,"&gt;0")</x:f>
        <x:v>0</x:v>
      </x:c>
      <x:c r="M64" s="32" t="n">
        <x:f>L64/'01_Metodologia'!$F$6</x:f>
        <x:v>0</x:v>
      </x:c>
      <x:c r="N64" s="26" t="n">
        <x:f>COUNTIF('04_Presencia_Curriculos'!D64:P64,2)</x:f>
        <x:v>0</x:v>
      </x:c>
      <x:c r="O64" s="32" t="n">
        <x:f>N64/'01_Metodologia'!$F$6</x:f>
        <x:v>0</x:v>
      </x:c>
      <x:c r="P64" s="26" t="n">
        <x:f>COUNTIF('04_Presencia_Curriculos'!D64:P64,1)</x:f>
        <x:v>0</x:v>
      </x:c>
      <x:c r="Q64" s="26" t="n">
        <x:f>COUNTIF('04_Presencia_Curriculos'!R64:X64,"&gt;0")</x:f>
        <x:v>0</x:v>
      </x:c>
      <x:c r="R64" s="32" t="n">
        <x:f>Q64/'01_Metodologia'!$F$7</x:f>
        <x:v>0</x:v>
      </x:c>
      <x:c r="S64" s="36" t="n">
        <x:v>0</x:v>
      </x:c>
      <x:c r="T64" s="32" t="n">
        <x:f>AVERAGE('05_Peso_Creditos_Core'!D64:O64)</x:f>
        <x:v>0</x:v>
      </x:c>
      <x:c r="U64" s="32" t="n">
        <x:f>MEDIAN('05_Peso_Creditos_Core'!D64:O64)</x:f>
        <x:v>0</x:v>
      </x:c>
      <x:c r="V64" s="34" t="str">
        <x:f>IF(COUNT('06_Posicion_Core'!D64:P64)=0,"",MEDIAN('06_Posicion_Core'!D64:P64))</x:f>
      </x:c>
      <x:c r="W64" s="26" t="str">
        <x:f>IF(V64="","NR",IF(V64&lt;=25,"E1 Fundamentos",IF(V64&lt;=50,"E2 Fundamentos de ingeniería",IF(V64&lt;=75,"E3 Formación profesional","E4 Integración/especialización"))))</x:f>
        <x:v>NR</x:v>
      </x:c>
      <x:c r="X64" s="26" t="str">
        <x:f>IF(COUNT('07_Profundidad_Core'!D64:P64)=0,"",MEDIAN('07_Profundidad_Core'!D64:P64))</x:f>
      </x:c>
      <x:c r="Y64" s="26" t="str">
        <x:f>IF(X64="","NR",IF(X64=INT(X64),"N"&amp;TEXT(X64,"0"),"N"&amp;TEXT(INT(X64),"0")&amp;"–N"&amp;TEXT(INT(X64)+1,"0")))</x:f>
        <x:v>NR</x:v>
      </x:c>
      <x:c r="Z64" s="32"/>
      <x:c r="AA64" s="32"/>
      <x:c r="AB64" s="26" t="str">
        <x:f>IF(M64&gt;=0.75,"Universal / núcleo",IF(M64&gt;=0.5,"Consolidada",IF(M64&gt;=0.25,"Selectiva","Baja prevalencia")))</x:f>
        <x:v>Baja prevalencia</x:v>
      </x:c>
      <x:c r="AC64" s="26" t="str">
        <x:v>No</x:v>
      </x:c>
      <x:c r="AD64" s="26" t="str">
        <x:f>IF(AND(AC64="Sí",L64&gt;=2,M64&lt;0.5,V64&gt;=45),"Emergente en grado",IF(AND(AC64="Sí",L64&lt;=1,Q64&gt;=2),"Emergente desde nivel avanzado",IF(AND(M64&lt;0.25,L64&gt;=1),"Nicho / especialización","")))</x:f>
      </x:c>
      <x:c r="AE64" s="26" t="str">
        <x:v>Alta</x:v>
      </x:c>
      <x:c r="AF64" s="26" t="str">
        <x:v>Calidad, inocuidad y BPM</x:v>
      </x:c>
      <x:c r="AG64" s="26" t="str">
        <x:f>IF(AND(AB64="Universal / núcleo",AE64="Alta"),"Muy alta",IF(AND(OR(AD64="Emergente en grado",AD64="Emergente desde nivel avanzado"),AE64="Alta"),"Muy alta",IF(OR(AB64="Universal / núcleo",AB64="Consolidada",AE64="Alta"),"Alta",IF(OR(AD64&lt;&gt;"",AE64="Media"),"Media","Baja"))))</x:f>
        <x:v>Alta</x:v>
      </x:c>
      <x:c r="AH64" s="26" t="str">
        <x:v>Comparar con la malla EPN Agro antes de decidir mantener/reforzar/integrar/añadir.</x:v>
      </x:c>
    </x:row>
    <x:row r="65">
      <x:c r="A65" s="26" t="str">
        <x:v>A09</x:v>
      </x:c>
      <x:c r="B65" s="26" t="str">
        <x:v>Plantas, Equipos, Automatización y Digitalización</x:v>
      </x:c>
      <x:c r="C65" s="26" t="str">
        <x:v>S27</x:v>
      </x:c>
      <x:c r="D65" s="26" t="str">
        <x:v>Plantas y equipos</x:v>
      </x:c>
      <x:c r="E65" s="26" t="str">
        <x:v>F0901</x:v>
      </x:c>
      <x:c r="F65" s="26" t="str">
        <x:v>Diseño de plantas e industrias alimentarias</x:v>
      </x:c>
      <x:c r="G65" s="26" t="str">
        <x:v>Diseño de planta, línea y layout.</x:v>
      </x:c>
      <x:c r="H65" s="26" t="n">
        <x:f>COUNTIF('04_Presencia_Curriculos'!D65:X65,"&gt;0")</x:f>
        <x:v>4</x:v>
      </x:c>
      <x:c r="I65" s="32" t="n">
        <x:f>H65/'01_Metodologia'!$F$4</x:f>
        <x:v>0.19047619047619047</x:v>
      </x:c>
      <x:c r="J65" s="26" t="n">
        <x:f>COUNTIF('04_Presencia_Curriculos'!D65:Q65,"&gt;0")</x:f>
        <x:v>4</x:v>
      </x:c>
      <x:c r="K65" s="32" t="n">
        <x:f>J65/'01_Metodologia'!$F$5</x:f>
        <x:v>0.2857142857142857</x:v>
      </x:c>
      <x:c r="L65" s="26" t="n">
        <x:f>COUNTIF('04_Presencia_Curriculos'!D65:P65,"&gt;0")</x:f>
        <x:v>4</x:v>
      </x:c>
      <x:c r="M65" s="32" t="n">
        <x:f>L65/'01_Metodologia'!$F$6</x:f>
        <x:v>0.3076923076923077</x:v>
      </x:c>
      <x:c r="N65" s="26" t="n">
        <x:f>COUNTIF('04_Presencia_Curriculos'!D65:P65,2)</x:f>
        <x:v>4</x:v>
      </x:c>
      <x:c r="O65" s="32" t="n">
        <x:f>N65/'01_Metodologia'!$F$6</x:f>
        <x:v>0.3076923076923077</x:v>
      </x:c>
      <x:c r="P65" s="26" t="n">
        <x:f>COUNTIF('04_Presencia_Curriculos'!D65:P65,1)</x:f>
        <x:v>0</x:v>
      </x:c>
      <x:c r="Q65" s="26" t="n">
        <x:f>COUNTIF('04_Presencia_Curriculos'!R65:X65,"&gt;0")</x:f>
        <x:v>0</x:v>
      </x:c>
      <x:c r="R65" s="32" t="n">
        <x:f>Q65/'01_Metodologia'!$F$7</x:f>
        <x:v>0</x:v>
      </x:c>
      <x:c r="S65" s="36" t="n">
        <x:v>2.25</x:v>
      </x:c>
      <x:c r="T65" s="32" t="n">
        <x:f>AVERAGE('05_Peso_Creditos_Core'!D65:O65)</x:f>
        <x:v>0.011111111111111113</x:v>
      </x:c>
      <x:c r="U65" s="32" t="n">
        <x:f>MEDIAN('05_Peso_Creditos_Core'!D65:O65)</x:f>
        <x:v>0</x:v>
      </x:c>
      <x:c r="V65" s="34" t="n">
        <x:f>IF(COUNT('06_Posicion_Core'!D65:P65)=0,"",MEDIAN('06_Posicion_Core'!D65:P65))</x:f>
        <x:v>83.33333333333333</x:v>
      </x:c>
      <x:c r="W65" s="26" t="str">
        <x:f>IF(V65="","NR",IF(V65&lt;=25,"E1 Fundamentos",IF(V65&lt;=50,"E2 Fundamentos de ingeniería",IF(V65&lt;=75,"E3 Formación profesional","E4 Integración/especialización"))))</x:f>
        <x:v>E4 Integración/especialización</x:v>
      </x:c>
      <x:c r="X65" s="26" t="n">
        <x:f>IF(COUNT('07_Profundidad_Core'!D65:P65)=0,"",MEDIAN('07_Profundidad_Core'!D65:P65))</x:f>
        <x:v>2.5</x:v>
      </x:c>
      <x:c r="Y65" s="26" t="str">
        <x:f>IF(X65="","NR",IF(X65=INT(X65),"N"&amp;TEXT(X65,"0"),"N"&amp;TEXT(INT(X65),"0")&amp;"–N"&amp;TEXT(INT(X65)+1,"0")))</x:f>
        <x:v>N2–N3</x:v>
      </x:c>
      <x:c r="Z65" s="32" t="n">
        <x:v>0</x:v>
      </x:c>
      <x:c r="AA65" s="32" t="n">
        <x:v>0</x:v>
      </x:c>
      <x:c r="AB65" s="26" t="str">
        <x:f>IF(M65&gt;=0.75,"Universal / núcleo",IF(M65&gt;=0.5,"Consolidada",IF(M65&gt;=0.25,"Selectiva","Baja prevalencia")))</x:f>
        <x:v>Selectiva</x:v>
      </x:c>
      <x:c r="AC65" s="26" t="str">
        <x:v>No</x:v>
      </x:c>
      <x:c r="AD65" s="26" t="str">
        <x:f>IF(AND(AC65="Sí",L65&gt;=2,M65&lt;0.5,V65&gt;=45),"Emergente en grado",IF(AND(AC65="Sí",L65&lt;=1,Q65&gt;=2),"Emergente desde nivel avanzado",IF(AND(M65&lt;0.25,L65&gt;=1),"Nicho / especialización","")))</x:f>
      </x:c>
      <x:c r="AE65" s="26" t="str"/>
      <x:c r="AF65" s="26" t="str"/>
      <x:c r="AG65" s="26" t="str">
        <x:f>IF(AND(AB65="Universal / núcleo",AE65="Alta"),"Muy alta",IF(AND(OR(AD65="Emergente en grado",AD65="Emergente desde nivel avanzado"),AE65="Alta"),"Muy alta",IF(OR(AB65="Universal / núcleo",AB65="Consolidada",AE65="Alta"),"Alta",IF(OR(AD65&lt;&gt;"",AE65="Media"),"Media","Baja"))))</x:f>
        <x:v>Baja</x:v>
      </x:c>
      <x:c r="AH65" s="26" t="str">
        <x:v>Comparar con la malla EPN Agro antes de decidir mantener/reforzar/integrar/añadir.</x:v>
      </x:c>
    </x:row>
    <x:row r="66">
      <x:c r="A66" s="26" t="str">
        <x:v>A09</x:v>
      </x:c>
      <x:c r="B66" s="26" t="str">
        <x:v>Plantas, Equipos, Automatización y Digitalización</x:v>
      </x:c>
      <x:c r="C66" s="26" t="str">
        <x:v>S27</x:v>
      </x:c>
      <x:c r="D66" s="26" t="str">
        <x:v>Plantas y equipos</x:v>
      </x:c>
      <x:c r="E66" s="26" t="str">
        <x:v>F0902</x:v>
      </x:c>
      <x:c r="F66" s="26" t="str">
        <x:v>Maquinaria y equipos de proceso</x:v>
      </x:c>
      <x:c r="G66" s="26" t="str">
        <x:v>Máquinas y equipos de proceso.</x:v>
      </x:c>
      <x:c r="H66" s="26" t="n">
        <x:f>COUNTIF('04_Presencia_Curriculos'!D66:X66,"&gt;0")</x:f>
        <x:v>4</x:v>
      </x:c>
      <x:c r="I66" s="32" t="n">
        <x:f>H66/'01_Metodologia'!$F$4</x:f>
        <x:v>0.19047619047619047</x:v>
      </x:c>
      <x:c r="J66" s="26" t="n">
        <x:f>COUNTIF('04_Presencia_Curriculos'!D66:Q66,"&gt;0")</x:f>
        <x:v>3</x:v>
      </x:c>
      <x:c r="K66" s="32" t="n">
        <x:f>J66/'01_Metodologia'!$F$5</x:f>
        <x:v>0.21428571428571427</x:v>
      </x:c>
      <x:c r="L66" s="26" t="n">
        <x:f>COUNTIF('04_Presencia_Curriculos'!D66:P66,"&gt;0")</x:f>
        <x:v>3</x:v>
      </x:c>
      <x:c r="M66" s="32" t="n">
        <x:f>L66/'01_Metodologia'!$F$6</x:f>
        <x:v>0.23076923076923078</x:v>
      </x:c>
      <x:c r="N66" s="26" t="n">
        <x:f>COUNTIF('04_Presencia_Curriculos'!D66:P66,2)</x:f>
        <x:v>2</x:v>
      </x:c>
      <x:c r="O66" s="32" t="n">
        <x:f>N66/'01_Metodologia'!$F$6</x:f>
        <x:v>0.15384615384615385</x:v>
      </x:c>
      <x:c r="P66" s="26" t="n">
        <x:f>COUNTIF('04_Presencia_Curriculos'!D66:P66,1)</x:f>
        <x:v>1</x:v>
      </x:c>
      <x:c r="Q66" s="26" t="n">
        <x:f>COUNTIF('04_Presencia_Curriculos'!R66:X66,"&gt;0")</x:f>
        <x:v>1</x:v>
      </x:c>
      <x:c r="R66" s="32" t="n">
        <x:f>Q66/'01_Metodologia'!$F$7</x:f>
        <x:v>0.14285714285714285</x:v>
      </x:c>
      <x:c r="S66" s="36" t="n">
        <x:v>0.9166666666666666</x:v>
      </x:c>
      <x:c r="T66" s="32" t="n">
        <x:f>AVERAGE('05_Peso_Creditos_Core'!D66:O66)</x:f>
        <x:v>0.005092592592592593</x:v>
      </x:c>
      <x:c r="U66" s="32" t="n">
        <x:f>MEDIAN('05_Peso_Creditos_Core'!D66:O66)</x:f>
        <x:v>0</x:v>
      </x:c>
      <x:c r="V66" s="34" t="n">
        <x:f>IF(COUNT('06_Posicion_Core'!D66:P66)=0,"",MEDIAN('06_Posicion_Core'!D66:P66))</x:f>
        <x:v>91.66666666666666</x:v>
      </x:c>
      <x:c r="W66" s="26" t="str">
        <x:f>IF(V66="","NR",IF(V66&lt;=25,"E1 Fundamentos",IF(V66&lt;=50,"E2 Fundamentos de ingeniería",IF(V66&lt;=75,"E3 Formación profesional","E4 Integración/especialización"))))</x:f>
        <x:v>E4 Integración/especialización</x:v>
      </x:c>
      <x:c r="X66" s="26" t="n">
        <x:f>IF(COUNT('07_Profundidad_Core'!D66:P66)=0,"",MEDIAN('07_Profundidad_Core'!D66:P66))</x:f>
        <x:v>2</x:v>
      </x:c>
      <x:c r="Y66" s="26" t="str">
        <x:f>IF(X66="","NR",IF(X66=INT(X66),"N"&amp;TEXT(X66,"0"),"N"&amp;TEXT(INT(X66),"0")&amp;"–N"&amp;TEXT(INT(X66)+1,"0")))</x:f>
        <x:v>N2</x:v>
      </x:c>
      <x:c r="Z66" s="32" t="n">
        <x:v>0</x:v>
      </x:c>
      <x:c r="AA66" s="32" t="n">
        <x:v>0</x:v>
      </x:c>
      <x:c r="AB66" s="26" t="str">
        <x:f>IF(M66&gt;=0.75,"Universal / núcleo",IF(M66&gt;=0.5,"Consolidada",IF(M66&gt;=0.25,"Selectiva","Baja prevalencia")))</x:f>
        <x:v>Baja prevalencia</x:v>
      </x:c>
      <x:c r="AC66" s="26" t="str">
        <x:v>No</x:v>
      </x:c>
      <x:c r="AD66" s="26" t="str">
        <x:f>IF(AND(AC66="Sí",L66&gt;=2,M66&lt;0.5,V66&gt;=45),"Emergente en grado",IF(AND(AC66="Sí",L66&lt;=1,Q66&gt;=2),"Emergente desde nivel avanzado",IF(AND(M66&lt;0.25,L66&gt;=1),"Nicho / especialización","")))</x:f>
        <x:v>Nicho / especialización</x:v>
      </x:c>
      <x:c r="AE66" s="26" t="str"/>
      <x:c r="AF66" s="26" t="str"/>
      <x:c r="AG66" s="26" t="str">
        <x:f>IF(AND(AB66="Universal / núcleo",AE66="Alta"),"Muy alta",IF(AND(OR(AD66="Emergente en grado",AD66="Emergente desde nivel avanzado"),AE66="Alta"),"Muy alta",IF(OR(AB66="Universal / núcleo",AB66="Consolidada",AE66="Alta"),"Alta",IF(OR(AD66&lt;&gt;"",AE66="Media"),"Media","Baja"))))</x:f>
        <x:v>Media</x:v>
      </x:c>
      <x:c r="AH66" s="26" t="str">
        <x:v>Comparar con la malla EPN Agro antes de decidir mantener/reforzar/integrar/añadir.</x:v>
      </x:c>
    </x:row>
    <x:row r="67">
      <x:c r="A67" s="26" t="str">
        <x:v>A09</x:v>
      </x:c>
      <x:c r="B67" s="26" t="str">
        <x:v>Plantas, Equipos, Automatización y Digitalización</x:v>
      </x:c>
      <x:c r="C67" s="26" t="str">
        <x:v>S27</x:v>
      </x:c>
      <x:c r="D67" s="26" t="str">
        <x:v>Plantas y equipos</x:v>
      </x:c>
      <x:c r="E67" s="26" t="str">
        <x:v>F0903</x:v>
      </x:c>
      <x:c r="F67" s="26" t="str">
        <x:v>Instalaciones y servicios auxiliares</x:v>
      </x:c>
      <x:c r="G67" s="26" t="str">
        <x:v>Instalaciones, vapor, agua y utilities.</x:v>
      </x:c>
      <x:c r="H67" s="26" t="n">
        <x:f>COUNTIF('04_Presencia_Curriculos'!D67:X67,"&gt;0")</x:f>
        <x:v>5</x:v>
      </x:c>
      <x:c r="I67" s="32" t="n">
        <x:f>H67/'01_Metodologia'!$F$4</x:f>
        <x:v>0.23809523809523808</x:v>
      </x:c>
      <x:c r="J67" s="26" t="n">
        <x:f>COUNTIF('04_Presencia_Curriculos'!D67:Q67,"&gt;0")</x:f>
        <x:v>5</x:v>
      </x:c>
      <x:c r="K67" s="32" t="n">
        <x:f>J67/'01_Metodologia'!$F$5</x:f>
        <x:v>0.35714285714285715</x:v>
      </x:c>
      <x:c r="L67" s="26" t="n">
        <x:f>COUNTIF('04_Presencia_Curriculos'!D67:P67,"&gt;0")</x:f>
        <x:v>5</x:v>
      </x:c>
      <x:c r="M67" s="32" t="n">
        <x:f>L67/'01_Metodologia'!$F$6</x:f>
        <x:v>0.38461538461538464</x:v>
      </x:c>
      <x:c r="N67" s="26" t="n">
        <x:f>COUNTIF('04_Presencia_Curriculos'!D67:P67,2)</x:f>
        <x:v>5</x:v>
      </x:c>
      <x:c r="O67" s="32" t="n">
        <x:f>N67/'01_Metodologia'!$F$6</x:f>
        <x:v>0.38461538461538464</x:v>
      </x:c>
      <x:c r="P67" s="26" t="n">
        <x:f>COUNTIF('04_Presencia_Curriculos'!D67:P67,1)</x:f>
        <x:v>0</x:v>
      </x:c>
      <x:c r="Q67" s="26" t="n">
        <x:f>COUNTIF('04_Presencia_Curriculos'!R67:X67,"&gt;0")</x:f>
        <x:v>0</x:v>
      </x:c>
      <x:c r="R67" s="32" t="n">
        <x:f>Q67/'01_Metodologia'!$F$7</x:f>
        <x:v>0</x:v>
      </x:c>
      <x:c r="S67" s="36" t="n">
        <x:v>2</x:v>
      </x:c>
      <x:c r="T67" s="32" t="n">
        <x:f>AVERAGE('05_Peso_Creditos_Core'!D67:O67)</x:f>
        <x:v>0.009722222222222222</x:v>
      </x:c>
      <x:c r="U67" s="32" t="n">
        <x:f>MEDIAN('05_Peso_Creditos_Core'!D67:O67)</x:f>
        <x:v>0</x:v>
      </x:c>
      <x:c r="V67" s="34" t="n">
        <x:f>IF(COUNT('06_Posicion_Core'!D67:P67)=0,"",MEDIAN('06_Posicion_Core'!D67:P67))</x:f>
        <x:v>56.25</x:v>
      </x:c>
      <x:c r="W67" s="26" t="str">
        <x:f>IF(V67="","NR",IF(V67&lt;=25,"E1 Fundamentos",IF(V67&lt;=50,"E2 Fundamentos de ingeniería",IF(V67&lt;=75,"E3 Formación profesional","E4 Integración/especialización"))))</x:f>
        <x:v>E3 Formación profesional</x:v>
      </x:c>
      <x:c r="X67" s="26" t="n">
        <x:f>IF(COUNT('07_Profundidad_Core'!D67:P67)=0,"",MEDIAN('07_Profundidad_Core'!D67:P67))</x:f>
        <x:v>2</x:v>
      </x:c>
      <x:c r="Y67" s="26" t="str">
        <x:f>IF(X67="","NR",IF(X67=INT(X67),"N"&amp;TEXT(X67,"0"),"N"&amp;TEXT(INT(X67),"0")&amp;"–N"&amp;TEXT(INT(X67)+1,"0")))</x:f>
        <x:v>N2</x:v>
      </x:c>
      <x:c r="Z67" s="32" t="n">
        <x:v>0</x:v>
      </x:c>
      <x:c r="AA67" s="32" t="n">
        <x:v>0</x:v>
      </x:c>
      <x:c r="AB67" s="26" t="str">
        <x:f>IF(M67&gt;=0.75,"Universal / núcleo",IF(M67&gt;=0.5,"Consolidada",IF(M67&gt;=0.25,"Selectiva","Baja prevalencia")))</x:f>
        <x:v>Selectiva</x:v>
      </x:c>
      <x:c r="AC67" s="26" t="str">
        <x:v>No</x:v>
      </x:c>
      <x:c r="AD67" s="26" t="str">
        <x:f>IF(AND(AC67="Sí",L67&gt;=2,M67&lt;0.5,V67&gt;=45),"Emergente en grado",IF(AND(AC67="Sí",L67&lt;=1,Q67&gt;=2),"Emergente desde nivel avanzado",IF(AND(M67&lt;0.25,L67&gt;=1),"Nicho / especialización","")))</x:f>
      </x:c>
      <x:c r="AE67" s="26" t="str"/>
      <x:c r="AF67" s="26" t="str"/>
      <x:c r="AG67" s="26" t="str">
        <x:f>IF(AND(AB67="Universal / núcleo",AE67="Alta"),"Muy alta",IF(AND(OR(AD67="Emergente en grado",AD67="Emergente desde nivel avanzado"),AE67="Alta"),"Muy alta",IF(OR(AB67="Universal / núcleo",AB67="Consolidada",AE67="Alta"),"Alta",IF(OR(AD67&lt;&gt;"",AE67="Media"),"Media","Baja"))))</x:f>
        <x:v>Baja</x:v>
      </x:c>
      <x:c r="AH67" s="26" t="str">
        <x:v>Comparar con la malla EPN Agro antes de decidir mantener/reforzar/integrar/añadir.</x:v>
      </x:c>
    </x:row>
    <x:row r="68">
      <x:c r="A68" s="26" t="str">
        <x:v>A09</x:v>
      </x:c>
      <x:c r="B68" s="26" t="str">
        <x:v>Plantas, Equipos, Automatización y Digitalización</x:v>
      </x:c>
      <x:c r="C68" s="26" t="str">
        <x:v>S27</x:v>
      </x:c>
      <x:c r="D68" s="26" t="str">
        <x:v>Plantas y equipos</x:v>
      </x:c>
      <x:c r="E68" s="26" t="str">
        <x:v>F0904</x:v>
      </x:c>
      <x:c r="F68" s="26" t="str">
        <x:v>Construcciones agroindustriales</x:v>
      </x:c>
      <x:c r="G68" s="26" t="str">
        <x:v>Edificación y estructuras aplicadas a agroindustria.</x:v>
      </x:c>
      <x:c r="H68" s="26" t="n">
        <x:f>COUNTIF('04_Presencia_Curriculos'!D68:X68,"&gt;0")</x:f>
        <x:v>3</x:v>
      </x:c>
      <x:c r="I68" s="32" t="n">
        <x:f>H68/'01_Metodologia'!$F$4</x:f>
        <x:v>0.14285714285714285</x:v>
      </x:c>
      <x:c r="J68" s="26" t="n">
        <x:f>COUNTIF('04_Presencia_Curriculos'!D68:Q68,"&gt;0")</x:f>
        <x:v>3</x:v>
      </x:c>
      <x:c r="K68" s="32" t="n">
        <x:f>J68/'01_Metodologia'!$F$5</x:f>
        <x:v>0.21428571428571427</x:v>
      </x:c>
      <x:c r="L68" s="26" t="n">
        <x:f>COUNTIF('04_Presencia_Curriculos'!D68:P68,"&gt;0")</x:f>
        <x:v>3</x:v>
      </x:c>
      <x:c r="M68" s="32" t="n">
        <x:f>L68/'01_Metodologia'!$F$6</x:f>
        <x:v>0.23076923076923078</x:v>
      </x:c>
      <x:c r="N68" s="26" t="n">
        <x:f>COUNTIF('04_Presencia_Curriculos'!D68:P68,2)</x:f>
        <x:v>3</x:v>
      </x:c>
      <x:c r="O68" s="32" t="n">
        <x:f>N68/'01_Metodologia'!$F$6</x:f>
        <x:v>0.23076923076923078</x:v>
      </x:c>
      <x:c r="P68" s="26" t="n">
        <x:f>COUNTIF('04_Presencia_Curriculos'!D68:P68,1)</x:f>
        <x:v>0</x:v>
      </x:c>
      <x:c r="Q68" s="26" t="n">
        <x:f>COUNTIF('04_Presencia_Curriculos'!R68:X68,"&gt;0")</x:f>
        <x:v>0</x:v>
      </x:c>
      <x:c r="R68" s="32" t="n">
        <x:f>Q68/'01_Metodologia'!$F$7</x:f>
        <x:v>0</x:v>
      </x:c>
      <x:c r="S68" s="36" t="n">
        <x:v>1</x:v>
      </x:c>
      <x:c r="T68" s="32" t="n">
        <x:f>AVERAGE('05_Peso_Creditos_Core'!D68:O68)</x:f>
        <x:v>0.004166666666666667</x:v>
      </x:c>
      <x:c r="U68" s="32" t="n">
        <x:f>MEDIAN('05_Peso_Creditos_Core'!D68:O68)</x:f>
        <x:v>0</x:v>
      </x:c>
      <x:c r="V68" s="34" t="n">
        <x:f>IF(COUNT('06_Posicion_Core'!D68:P68)=0,"",MEDIAN('06_Posicion_Core'!D68:P68))</x:f>
        <x:v>81.25</x:v>
      </x:c>
      <x:c r="W68" s="26" t="str">
        <x:f>IF(V68="","NR",IF(V68&lt;=25,"E1 Fundamentos",IF(V68&lt;=50,"E2 Fundamentos de ingeniería",IF(V68&lt;=75,"E3 Formación profesional","E4 Integración/especialización"))))</x:f>
        <x:v>E4 Integración/especialización</x:v>
      </x:c>
      <x:c r="X68" s="26" t="n">
        <x:f>IF(COUNT('07_Profundidad_Core'!D68:P68)=0,"",MEDIAN('07_Profundidad_Core'!D68:P68))</x:f>
        <x:v>2</x:v>
      </x:c>
      <x:c r="Y68" s="26" t="str">
        <x:f>IF(X68="","NR",IF(X68=INT(X68),"N"&amp;TEXT(X68,"0"),"N"&amp;TEXT(INT(X68),"0")&amp;"–N"&amp;TEXT(INT(X68)+1,"0")))</x:f>
        <x:v>N2</x:v>
      </x:c>
      <x:c r="Z68" s="32" t="n">
        <x:v>0</x:v>
      </x:c>
      <x:c r="AA68" s="32" t="n">
        <x:v>0</x:v>
      </x:c>
      <x:c r="AB68" s="26" t="str">
        <x:f>IF(M68&gt;=0.75,"Universal / núcleo",IF(M68&gt;=0.5,"Consolidada",IF(M68&gt;=0.25,"Selectiva","Baja prevalencia")))</x:f>
        <x:v>Baja prevalencia</x:v>
      </x:c>
      <x:c r="AC68" s="26" t="str">
        <x:v>No</x:v>
      </x:c>
      <x:c r="AD68" s="26" t="str">
        <x:f>IF(AND(AC68="Sí",L68&gt;=2,M68&lt;0.5,V68&gt;=45),"Emergente en grado",IF(AND(AC68="Sí",L68&lt;=1,Q68&gt;=2),"Emergente desde nivel avanzado",IF(AND(M68&lt;0.25,L68&gt;=1),"Nicho / especialización","")))</x:f>
        <x:v>Nicho / especialización</x:v>
      </x:c>
      <x:c r="AE68" s="26" t="str"/>
      <x:c r="AF68" s="26" t="str"/>
      <x:c r="AG68" s="26" t="str">
        <x:f>IF(AND(AB68="Universal / núcleo",AE68="Alta"),"Muy alta",IF(AND(OR(AD68="Emergente en grado",AD68="Emergente desde nivel avanzado"),AE68="Alta"),"Muy alta",IF(OR(AB68="Universal / núcleo",AB68="Consolidada",AE68="Alta"),"Alta",IF(OR(AD68&lt;&gt;"",AE68="Media"),"Media","Baja"))))</x:f>
        <x:v>Media</x:v>
      </x:c>
      <x:c r="AH68" s="26" t="str">
        <x:v>Comparar con la malla EPN Agro antes de decidir mantener/reforzar/integrar/añadir.</x:v>
      </x:c>
    </x:row>
    <x:row r="69">
      <x:c r="A69" s="26" t="str">
        <x:v>A09</x:v>
      </x:c>
      <x:c r="B69" s="26" t="str">
        <x:v>Plantas, Equipos, Automatización y Digitalización</x:v>
      </x:c>
      <x:c r="C69" s="26" t="str">
        <x:v>S28</x:v>
      </x:c>
      <x:c r="D69" s="26" t="str">
        <x:v>Automatización</x:v>
      </x:c>
      <x:c r="E69" s="26" t="str">
        <x:v>F0905</x:v>
      </x:c>
      <x:c r="F69" s="26" t="str">
        <x:v>Automatización, control e instrumentación</x:v>
      </x:c>
      <x:c r="G69" s="26" t="str">
        <x:v>Regulación, sensores y control.</x:v>
      </x:c>
      <x:c r="H69" s="26" t="n">
        <x:f>COUNTIF('04_Presencia_Curriculos'!D69:X69,"&gt;0")</x:f>
        <x:v>5</x:v>
      </x:c>
      <x:c r="I69" s="32" t="n">
        <x:f>H69/'01_Metodologia'!$F$4</x:f>
        <x:v>0.23809523809523808</x:v>
      </x:c>
      <x:c r="J69" s="26" t="n">
        <x:f>COUNTIF('04_Presencia_Curriculos'!D69:Q69,"&gt;0")</x:f>
        <x:v>4</x:v>
      </x:c>
      <x:c r="K69" s="32" t="n">
        <x:f>J69/'01_Metodologia'!$F$5</x:f>
        <x:v>0.2857142857142857</x:v>
      </x:c>
      <x:c r="L69" s="26" t="n">
        <x:f>COUNTIF('04_Presencia_Curriculos'!D69:P69,"&gt;0")</x:f>
        <x:v>4</x:v>
      </x:c>
      <x:c r="M69" s="32" t="n">
        <x:f>L69/'01_Metodologia'!$F$6</x:f>
        <x:v>0.3076923076923077</x:v>
      </x:c>
      <x:c r="N69" s="26" t="n">
        <x:f>COUNTIF('04_Presencia_Curriculos'!D69:P69,2)</x:f>
        <x:v>4</x:v>
      </x:c>
      <x:c r="O69" s="32" t="n">
        <x:f>N69/'01_Metodologia'!$F$6</x:f>
        <x:v>0.3076923076923077</x:v>
      </x:c>
      <x:c r="P69" s="26" t="n">
        <x:f>COUNTIF('04_Presencia_Curriculos'!D69:P69,1)</x:f>
        <x:v>0</x:v>
      </x:c>
      <x:c r="Q69" s="26" t="n">
        <x:f>COUNTIF('04_Presencia_Curriculos'!R69:X69,"&gt;0")</x:f>
        <x:v>1</x:v>
      </x:c>
      <x:c r="R69" s="32" t="n">
        <x:f>Q69/'01_Metodologia'!$F$7</x:f>
        <x:v>0.14285714285714285</x:v>
      </x:c>
      <x:c r="S69" s="36" t="n">
        <x:v>1.3333333333333333</x:v>
      </x:c>
      <x:c r="T69" s="32" t="n">
        <x:f>AVERAGE('05_Peso_Creditos_Core'!D69:O69)</x:f>
        <x:v>0.006250000000000001</x:v>
      </x:c>
      <x:c r="U69" s="32" t="n">
        <x:f>MEDIAN('05_Peso_Creditos_Core'!D69:O69)</x:f>
        <x:v>0</x:v>
      </x:c>
      <x:c r="V69" s="34" t="n">
        <x:f>IF(COUNT('06_Posicion_Core'!D69:P69)=0,"",MEDIAN('06_Posicion_Core'!D69:P69))</x:f>
        <x:v>50</x:v>
      </x:c>
      <x:c r="W69" s="26" t="str">
        <x:f>IF(V69="","NR",IF(V69&lt;=25,"E1 Fundamentos",IF(V69&lt;=50,"E2 Fundamentos de ingeniería",IF(V69&lt;=75,"E3 Formación profesional","E4 Integración/especialización"))))</x:f>
        <x:v>E2 Fundamentos de ingeniería</x:v>
      </x:c>
      <x:c r="X69" s="26" t="n">
        <x:f>IF(COUNT('07_Profundidad_Core'!D69:P69)=0,"",MEDIAN('07_Profundidad_Core'!D69:P69))</x:f>
        <x:v>2</x:v>
      </x:c>
      <x:c r="Y69" s="26" t="str">
        <x:f>IF(X69="","NR",IF(X69=INT(X69),"N"&amp;TEXT(X69,"0"),"N"&amp;TEXT(INT(X69),"0")&amp;"–N"&amp;TEXT(INT(X69)+1,"0")))</x:f>
        <x:v>N2</x:v>
      </x:c>
      <x:c r="Z69" s="32" t="n">
        <x:v>0</x:v>
      </x:c>
      <x:c r="AA69" s="32" t="n">
        <x:v>0</x:v>
      </x:c>
      <x:c r="AB69" s="26" t="str">
        <x:f>IF(M69&gt;=0.75,"Universal / núcleo",IF(M69&gt;=0.5,"Consolidada",IF(M69&gt;=0.25,"Selectiva","Baja prevalencia")))</x:f>
        <x:v>Selectiva</x:v>
      </x:c>
      <x:c r="AC69" s="26" t="str">
        <x:v>No</x:v>
      </x:c>
      <x:c r="AD69" s="26" t="str">
        <x:f>IF(AND(AC69="Sí",L69&gt;=2,M69&lt;0.5,V69&gt;=45),"Emergente en grado",IF(AND(AC69="Sí",L69&lt;=1,Q69&gt;=2),"Emergente desde nivel avanzado",IF(AND(M69&lt;0.25,L69&gt;=1),"Nicho / especialización","")))</x:f>
      </x:c>
      <x:c r="AE69" s="26" t="str"/>
      <x:c r="AF69" s="26" t="str"/>
      <x:c r="AG69" s="26" t="str">
        <x:f>IF(AND(AB69="Universal / núcleo",AE69="Alta"),"Muy alta",IF(AND(OR(AD69="Emergente en grado",AD69="Emergente desde nivel avanzado"),AE69="Alta"),"Muy alta",IF(OR(AB69="Universal / núcleo",AB69="Consolidada",AE69="Alta"),"Alta",IF(OR(AD69&lt;&gt;"",AE69="Media"),"Media","Baja"))))</x:f>
        <x:v>Baja</x:v>
      </x:c>
      <x:c r="AH69" s="26" t="str">
        <x:v>Comparar con la malla EPN Agro antes de decidir mantener/reforzar/integrar/añadir.</x:v>
      </x:c>
    </x:row>
    <x:row r="70">
      <x:c r="A70" s="26" t="str">
        <x:v>A09</x:v>
      </x:c>
      <x:c r="B70" s="26" t="str">
        <x:v>Plantas, Equipos, Automatización y Digitalización</x:v>
      </x:c>
      <x:c r="C70" s="26" t="str">
        <x:v>S28</x:v>
      </x:c>
      <x:c r="D70" s="26" t="str">
        <x:v>Automatización</x:v>
      </x:c>
      <x:c r="E70" s="26" t="str">
        <x:v>F0906</x:v>
      </x:c>
      <x:c r="F70" s="26" t="str">
        <x:v>Robótica, digitalización e Industria 4.0</x:v>
      </x:c>
      <x:c r="G70" s="26" t="str">
        <x:v>Robótica, digital e Industria 4.0.</x:v>
      </x:c>
      <x:c r="H70" s="26" t="n">
        <x:f>COUNTIF('04_Presencia_Curriculos'!D70:X70,"&gt;0")</x:f>
        <x:v>5</x:v>
      </x:c>
      <x:c r="I70" s="32" t="n">
        <x:f>H70/'01_Metodologia'!$F$4</x:f>
        <x:v>0.23809523809523808</x:v>
      </x:c>
      <x:c r="J70" s="26" t="n">
        <x:f>COUNTIF('04_Presencia_Curriculos'!D70:Q70,"&gt;0")</x:f>
        <x:v>3</x:v>
      </x:c>
      <x:c r="K70" s="32" t="n">
        <x:f>J70/'01_Metodologia'!$F$5</x:f>
        <x:v>0.21428571428571427</x:v>
      </x:c>
      <x:c r="L70" s="26" t="n">
        <x:f>COUNTIF('04_Presencia_Curriculos'!D70:P70,"&gt;0")</x:f>
        <x:v>3</x:v>
      </x:c>
      <x:c r="M70" s="32" t="n">
        <x:f>L70/'01_Metodologia'!$F$6</x:f>
        <x:v>0.23076923076923078</x:v>
      </x:c>
      <x:c r="N70" s="26" t="n">
        <x:f>COUNTIF('04_Presencia_Curriculos'!D70:P70,2)</x:f>
        <x:v>1</x:v>
      </x:c>
      <x:c r="O70" s="32" t="n">
        <x:f>N70/'01_Metodologia'!$F$6</x:f>
        <x:v>0.07692307692307693</x:v>
      </x:c>
      <x:c r="P70" s="26" t="n">
        <x:f>COUNTIF('04_Presencia_Curriculos'!D70:P70,1)</x:f>
        <x:v>2</x:v>
      </x:c>
      <x:c r="Q70" s="26" t="n">
        <x:f>COUNTIF('04_Presencia_Curriculos'!R70:X70,"&gt;0")</x:f>
        <x:v>2</x:v>
      </x:c>
      <x:c r="R70" s="32" t="n">
        <x:f>Q70/'01_Metodologia'!$F$7</x:f>
        <x:v>0.2857142857142857</x:v>
      </x:c>
      <x:c r="S70" s="36" t="n">
        <x:v>0.5</x:v>
      </x:c>
      <x:c r="T70" s="32" t="n">
        <x:f>AVERAGE('05_Peso_Creditos_Core'!D70:O70)</x:f>
        <x:v>0.002777777777777778</x:v>
      </x:c>
      <x:c r="U70" s="32" t="n">
        <x:f>MEDIAN('05_Peso_Creditos_Core'!D70:O70)</x:f>
        <x:v>0</x:v>
      </x:c>
      <x:c r="V70" s="34" t="n">
        <x:f>IF(COUNT('06_Posicion_Core'!D70:P70)=0,"",MEDIAN('06_Posicion_Core'!D70:P70))</x:f>
        <x:v>93.75</x:v>
      </x:c>
      <x:c r="W70" s="26" t="str">
        <x:f>IF(V70="","NR",IF(V70&lt;=25,"E1 Fundamentos",IF(V70&lt;=50,"E2 Fundamentos de ingeniería",IF(V70&lt;=75,"E3 Formación profesional","E4 Integración/especialización"))))</x:f>
        <x:v>E4 Integración/especialización</x:v>
      </x:c>
      <x:c r="X70" s="26" t="n">
        <x:f>IF(COUNT('07_Profundidad_Core'!D70:P70)=0,"",MEDIAN('07_Profundidad_Core'!D70:P70))</x:f>
        <x:v>2</x:v>
      </x:c>
      <x:c r="Y70" s="26" t="str">
        <x:f>IF(X70="","NR",IF(X70=INT(X70),"N"&amp;TEXT(X70,"0"),"N"&amp;TEXT(INT(X70),"0")&amp;"–N"&amp;TEXT(INT(X70)+1,"0")))</x:f>
        <x:v>N2</x:v>
      </x:c>
      <x:c r="Z70" s="32" t="n">
        <x:v>0</x:v>
      </x:c>
      <x:c r="AA70" s="32" t="n">
        <x:v>1</x:v>
      </x:c>
      <x:c r="AB70" s="26" t="str">
        <x:f>IF(M70&gt;=0.75,"Universal / núcleo",IF(M70&gt;=0.5,"Consolidada",IF(M70&gt;=0.25,"Selectiva","Baja prevalencia")))</x:f>
        <x:v>Baja prevalencia</x:v>
      </x:c>
      <x:c r="AC70" s="26" t="str">
        <x:v>Sí</x:v>
      </x:c>
      <x:c r="AD70" s="26" t="str">
        <x:f>IF(AND(AC70="Sí",L70&gt;=2,M70&lt;0.5,V70&gt;=45),"Emergente en grado",IF(AND(AC70="Sí",L70&lt;=1,Q70&gt;=2),"Emergente desde nivel avanzado",IF(AND(M70&lt;0.25,L70&gt;=1),"Nicho / especialización","")))</x:f>
        <x:v>Emergente en grado</x:v>
      </x:c>
      <x:c r="AE70" s="26" t="str">
        <x:v>Alta</x:v>
      </x:c>
      <x:c r="AF70" s="26" t="str">
        <x:v>Datos, programación e IA</x:v>
      </x:c>
      <x:c r="AG70" s="26" t="str">
        <x:f>IF(AND(AB70="Universal / núcleo",AE70="Alta"),"Muy alta",IF(AND(OR(AD70="Emergente en grado",AD70="Emergente desde nivel avanzado"),AE70="Alta"),"Muy alta",IF(OR(AB70="Universal / núcleo",AB70="Consolidada",AE70="Alta"),"Alta",IF(OR(AD70&lt;&gt;"",AE70="Media"),"Media","Baja"))))</x:f>
        <x:v>Muy alta</x:v>
      </x:c>
      <x:c r="AH70" s="26" t="str">
        <x:v>Comparar con la malla EPN Agro antes de decidir mantener/reforzar/integrar/añadir.</x:v>
      </x:c>
    </x:row>
    <x:row r="71">
      <x:c r="A71" s="26" t="str">
        <x:v>A09</x:v>
      </x:c>
      <x:c r="B71" s="26" t="str">
        <x:v>Plantas, Equipos, Automatización y Digitalización</x:v>
      </x:c>
      <x:c r="C71" s="26" t="str">
        <x:v>S29</x:v>
      </x:c>
      <x:c r="D71" s="26" t="str">
        <x:v>Packaging</x:v>
      </x:c>
      <x:c r="E71" s="26" t="str">
        <x:v>F0907</x:v>
      </x:c>
      <x:c r="F71" s="26" t="str">
        <x:v>Envases, materiales y packaging</x:v>
      </x:c>
      <x:c r="G71" s="26" t="str">
        <x:v>Envases, materiales y packaging.</x:v>
      </x:c>
      <x:c r="H71" s="26" t="n">
        <x:f>COUNTIF('04_Presencia_Curriculos'!D71:X71,"&gt;0")</x:f>
        <x:v>5</x:v>
      </x:c>
      <x:c r="I71" s="32" t="n">
        <x:f>H71/'01_Metodologia'!$F$4</x:f>
        <x:v>0.23809523809523808</x:v>
      </x:c>
      <x:c r="J71" s="26" t="n">
        <x:f>COUNTIF('04_Presencia_Curriculos'!D71:Q71,"&gt;0")</x:f>
        <x:v>4</x:v>
      </x:c>
      <x:c r="K71" s="32" t="n">
        <x:f>J71/'01_Metodologia'!$F$5</x:f>
        <x:v>0.2857142857142857</x:v>
      </x:c>
      <x:c r="L71" s="26" t="n">
        <x:f>COUNTIF('04_Presencia_Curriculos'!D71:P71,"&gt;0")</x:f>
        <x:v>4</x:v>
      </x:c>
      <x:c r="M71" s="32" t="n">
        <x:f>L71/'01_Metodologia'!$F$6</x:f>
        <x:v>0.3076923076923077</x:v>
      </x:c>
      <x:c r="N71" s="26" t="n">
        <x:f>COUNTIF('04_Presencia_Curriculos'!D71:P71,2)</x:f>
        <x:v>3</x:v>
      </x:c>
      <x:c r="O71" s="32" t="n">
        <x:f>N71/'01_Metodologia'!$F$6</x:f>
        <x:v>0.23076923076923078</x:v>
      </x:c>
      <x:c r="P71" s="26" t="n">
        <x:f>COUNTIF('04_Presencia_Curriculos'!D71:P71,1)</x:f>
        <x:v>1</x:v>
      </x:c>
      <x:c r="Q71" s="26" t="n">
        <x:f>COUNTIF('04_Presencia_Curriculos'!R71:X71,"&gt;0")</x:f>
        <x:v>1</x:v>
      </x:c>
      <x:c r="R71" s="32" t="n">
        <x:f>Q71/'01_Metodologia'!$F$7</x:f>
        <x:v>0.14285714285714285</x:v>
      </x:c>
      <x:c r="S71" s="36" t="n">
        <x:v>0.9166666666666666</x:v>
      </x:c>
      <x:c r="T71" s="32" t="n">
        <x:f>AVERAGE('05_Peso_Creditos_Core'!D71:O71)</x:f>
        <x:v>0.005092592592592592</x:v>
      </x:c>
      <x:c r="U71" s="32" t="n">
        <x:f>MEDIAN('05_Peso_Creditos_Core'!D71:O71)</x:f>
        <x:v>0</x:v>
      </x:c>
      <x:c r="V71" s="34" t="n">
        <x:f>IF(COUNT('06_Posicion_Core'!D71:P71)=0,"",MEDIAN('06_Posicion_Core'!D71:P71))</x:f>
        <x:v>71.875</x:v>
      </x:c>
      <x:c r="W71" s="26" t="str">
        <x:f>IF(V71="","NR",IF(V71&lt;=25,"E1 Fundamentos",IF(V71&lt;=50,"E2 Fundamentos de ingeniería",IF(V71&lt;=75,"E3 Formación profesional","E4 Integración/especialización"))))</x:f>
        <x:v>E3 Formación profesional</x:v>
      </x:c>
      <x:c r="X71" s="26" t="n">
        <x:f>IF(COUNT('07_Profundidad_Core'!D71:P71)=0,"",MEDIAN('07_Profundidad_Core'!D71:P71))</x:f>
        <x:v>2</x:v>
      </x:c>
      <x:c r="Y71" s="26" t="str">
        <x:f>IF(X71="","NR",IF(X71=INT(X71),"N"&amp;TEXT(X71,"0"),"N"&amp;TEXT(INT(X71),"0")&amp;"–N"&amp;TEXT(INT(X71)+1,"0")))</x:f>
        <x:v>N2</x:v>
      </x:c>
      <x:c r="Z71" s="32" t="n">
        <x:v>0</x:v>
      </x:c>
      <x:c r="AA71" s="32" t="n">
        <x:v>0</x:v>
      </x:c>
      <x:c r="AB71" s="26" t="str">
        <x:f>IF(M71&gt;=0.75,"Universal / núcleo",IF(M71&gt;=0.5,"Consolidada",IF(M71&gt;=0.25,"Selectiva","Baja prevalencia")))</x:f>
        <x:v>Selectiva</x:v>
      </x:c>
      <x:c r="AC71" s="26" t="str">
        <x:v>No</x:v>
      </x:c>
      <x:c r="AD71" s="26" t="str">
        <x:f>IF(AND(AC71="Sí",L71&gt;=2,M71&lt;0.5,V71&gt;=45),"Emergente en grado",IF(AND(AC71="Sí",L71&lt;=1,Q71&gt;=2),"Emergente desde nivel avanzado",IF(AND(M71&lt;0.25,L71&gt;=1),"Nicho / especialización","")))</x:f>
      </x:c>
      <x:c r="AE71" s="26" t="str"/>
      <x:c r="AF71" s="26" t="str"/>
      <x:c r="AG71" s="26" t="str">
        <x:f>IF(AND(AB71="Universal / núcleo",AE71="Alta"),"Muy alta",IF(AND(OR(AD71="Emergente en grado",AD71="Emergente desde nivel avanzado"),AE71="Alta"),"Muy alta",IF(OR(AB71="Universal / núcleo",AB71="Consolidada",AE71="Alta"),"Alta",IF(OR(AD71&lt;&gt;"",AE71="Media"),"Media","Baja"))))</x:f>
        <x:v>Baja</x:v>
      </x:c>
      <x:c r="AH71" s="26" t="str">
        <x:v>Comparar con la malla EPN Agro antes de decidir mantener/reforzar/integrar/añadir.</x:v>
      </x:c>
    </x:row>
    <x:row r="72">
      <x:c r="A72" s="26" t="str">
        <x:v>A09</x:v>
      </x:c>
      <x:c r="B72" s="26" t="str">
        <x:v>Plantas, Equipos, Automatización y Digitalización</x:v>
      </x:c>
      <x:c r="C72" s="26" t="str">
        <x:v>S30</x:v>
      </x:c>
      <x:c r="D72" s="26" t="str">
        <x:v>Energía industrial</x:v>
      </x:c>
      <x:c r="E72" s="26" t="str">
        <x:v>F0908</x:v>
      </x:c>
      <x:c r="F72" s="26" t="str">
        <x:v>Sistemas energéticos y utilidades térmicas</x:v>
      </x:c>
      <x:c r="G72" s="26" t="str">
        <x:v>Vapor, energía y utilidades térmicas de planta.</x:v>
      </x:c>
      <x:c r="H72" s="26" t="n">
        <x:f>COUNTIF('04_Presencia_Curriculos'!D72:X72,"&gt;0")</x:f>
        <x:v>5</x:v>
      </x:c>
      <x:c r="I72" s="32" t="n">
        <x:f>H72/'01_Metodologia'!$F$4</x:f>
        <x:v>0.23809523809523808</x:v>
      </x:c>
      <x:c r="J72" s="26" t="n">
        <x:f>COUNTIF('04_Presencia_Curriculos'!D72:Q72,"&gt;0")</x:f>
        <x:v>5</x:v>
      </x:c>
      <x:c r="K72" s="32" t="n">
        <x:f>J72/'01_Metodologia'!$F$5</x:f>
        <x:v>0.35714285714285715</x:v>
      </x:c>
      <x:c r="L72" s="26" t="n">
        <x:f>COUNTIF('04_Presencia_Curriculos'!D72:P72,"&gt;0")</x:f>
        <x:v>5</x:v>
      </x:c>
      <x:c r="M72" s="32" t="n">
        <x:f>L72/'01_Metodologia'!$F$6</x:f>
        <x:v>0.38461538461538464</x:v>
      </x:c>
      <x:c r="N72" s="26" t="n">
        <x:f>COUNTIF('04_Presencia_Curriculos'!D72:P72,2)</x:f>
        <x:v>4</x:v>
      </x:c>
      <x:c r="O72" s="32" t="n">
        <x:f>N72/'01_Metodologia'!$F$6</x:f>
        <x:v>0.3076923076923077</x:v>
      </x:c>
      <x:c r="P72" s="26" t="n">
        <x:f>COUNTIF('04_Presencia_Curriculos'!D72:P72,1)</x:f>
        <x:v>1</x:v>
      </x:c>
      <x:c r="Q72" s="26" t="n">
        <x:f>COUNTIF('04_Presencia_Curriculos'!R72:X72,"&gt;0")</x:f>
        <x:v>0</x:v>
      </x:c>
      <x:c r="R72" s="32" t="n">
        <x:f>Q72/'01_Metodologia'!$F$7</x:f>
        <x:v>0</x:v>
      </x:c>
      <x:c r="S72" s="36" t="n">
        <x:v>2.25</x:v>
      </x:c>
      <x:c r="T72" s="32" t="n">
        <x:f>AVERAGE('05_Peso_Creditos_Core'!D72:O72)</x:f>
        <x:v>0.010416666666666666</x:v>
      </x:c>
      <x:c r="U72" s="32" t="n">
        <x:f>MEDIAN('05_Peso_Creditos_Core'!D72:O72)</x:f>
        <x:v>0</x:v>
      </x:c>
      <x:c r="V72" s="34" t="n">
        <x:f>IF(COUNT('06_Posicion_Core'!D72:P72)=0,"",MEDIAN('06_Posicion_Core'!D72:P72))</x:f>
        <x:v>68.75</x:v>
      </x:c>
      <x:c r="W72" s="26" t="str">
        <x:f>IF(V72="","NR",IF(V72&lt;=25,"E1 Fundamentos",IF(V72&lt;=50,"E2 Fundamentos de ingeniería",IF(V72&lt;=75,"E3 Formación profesional","E4 Integración/especialización"))))</x:f>
        <x:v>E3 Formación profesional</x:v>
      </x:c>
      <x:c r="X72" s="26" t="n">
        <x:f>IF(COUNT('07_Profundidad_Core'!D72:P72)=0,"",MEDIAN('07_Profundidad_Core'!D72:P72))</x:f>
        <x:v>2</x:v>
      </x:c>
      <x:c r="Y72" s="26" t="str">
        <x:f>IF(X72="","NR",IF(X72=INT(X72),"N"&amp;TEXT(X72,"0"),"N"&amp;TEXT(INT(X72),"0")&amp;"–N"&amp;TEXT(INT(X72)+1,"0")))</x:f>
        <x:v>N2</x:v>
      </x:c>
      <x:c r="Z72" s="32" t="n">
        <x:v>0</x:v>
      </x:c>
      <x:c r="AA72" s="32" t="n">
        <x:v>0</x:v>
      </x:c>
      <x:c r="AB72" s="26" t="str">
        <x:f>IF(M72&gt;=0.75,"Universal / núcleo",IF(M72&gt;=0.5,"Consolidada",IF(M72&gt;=0.25,"Selectiva","Baja prevalencia")))</x:f>
        <x:v>Selectiva</x:v>
      </x:c>
      <x:c r="AC72" s="26" t="str">
        <x:v>No</x:v>
      </x:c>
      <x:c r="AD72" s="26" t="str">
        <x:f>IF(AND(AC72="Sí",L72&gt;=2,M72&lt;0.5,V72&gt;=45),"Emergente en grado",IF(AND(AC72="Sí",L72&lt;=1,Q72&gt;=2),"Emergente desde nivel avanzado",IF(AND(M72&lt;0.25,L72&gt;=1),"Nicho / especialización","")))</x:f>
      </x:c>
      <x:c r="AE72" s="26" t="str">
        <x:v>Alta</x:v>
      </x:c>
      <x:c r="AF72" s="26" t="str">
        <x:v>Sostenibilidad, circularidad y energía</x:v>
      </x:c>
      <x:c r="AG72" s="26" t="str">
        <x:f>IF(AND(AB72="Universal / núcleo",AE72="Alta"),"Muy alta",IF(AND(OR(AD72="Emergente en grado",AD72="Emergente desde nivel avanzado"),AE72="Alta"),"Muy alta",IF(OR(AB72="Universal / núcleo",AB72="Consolidada",AE72="Alta"),"Alta",IF(OR(AD72&lt;&gt;"",AE72="Media"),"Media","Baja"))))</x:f>
        <x:v>Alta</x:v>
      </x:c>
      <x:c r="AH72" s="26" t="str">
        <x:v>Comparar con la malla EPN Agro antes de decidir mantener/reforzar/integrar/añadir.</x:v>
      </x:c>
    </x:row>
    <x:row r="73">
      <x:c r="A73" s="26" t="str">
        <x:v>A10</x:v>
      </x:c>
      <x:c r="B73" s="26" t="str">
        <x:v>Producción Agropecuaria, Materias Primas y Territorio</x:v>
      </x:c>
      <x:c r="C73" s="26" t="str">
        <x:v>S31</x:v>
      </x:c>
      <x:c r="D73" s="26" t="str">
        <x:v>Producción vegetal</x:v>
      </x:c>
      <x:c r="E73" s="26" t="str">
        <x:v>F1001</x:v>
      </x:c>
      <x:c r="F73" s="26" t="str">
        <x:v>Producción vegetal y fitotecnia</x:v>
      </x:c>
      <x:c r="G73" s="26" t="str">
        <x:v>Cultivos y fitotecnia.</x:v>
      </x:c>
      <x:c r="H73" s="26" t="n">
        <x:f>COUNTIF('04_Presencia_Curriculos'!D73:X73,"&gt;0")</x:f>
        <x:v>13</x:v>
      </x:c>
      <x:c r="I73" s="32" t="n">
        <x:f>H73/'01_Metodologia'!$F$4</x:f>
        <x:v>0.6190476190476191</x:v>
      </x:c>
      <x:c r="J73" s="26" t="n">
        <x:f>COUNTIF('04_Presencia_Curriculos'!D73:Q73,"&gt;0")</x:f>
        <x:v>10</x:v>
      </x:c>
      <x:c r="K73" s="32" t="n">
        <x:f>J73/'01_Metodologia'!$F$5</x:f>
        <x:v>0.7142857142857143</x:v>
      </x:c>
      <x:c r="L73" s="26" t="n">
        <x:f>COUNTIF('04_Presencia_Curriculos'!D73:P73,"&gt;0")</x:f>
        <x:v>9</x:v>
      </x:c>
      <x:c r="M73" s="32" t="n">
        <x:f>L73/'01_Metodologia'!$F$6</x:f>
        <x:v>0.6923076923076923</x:v>
      </x:c>
      <x:c r="N73" s="26" t="n">
        <x:f>COUNTIF('04_Presencia_Curriculos'!D73:P73,2)</x:f>
        <x:v>9</x:v>
      </x:c>
      <x:c r="O73" s="32" t="n">
        <x:f>N73/'01_Metodologia'!$F$6</x:f>
        <x:v>0.6923076923076923</x:v>
      </x:c>
      <x:c r="P73" s="26" t="n">
        <x:f>COUNTIF('04_Presencia_Curriculos'!D73:P73,1)</x:f>
        <x:v>0</x:v>
      </x:c>
      <x:c r="Q73" s="26" t="n">
        <x:f>COUNTIF('04_Presencia_Curriculos'!R73:X73,"&gt;0")</x:f>
        <x:v>3</x:v>
      </x:c>
      <x:c r="R73" s="32" t="n">
        <x:f>Q73/'01_Metodologia'!$F$7</x:f>
        <x:v>0.42857142857142855</x:v>
      </x:c>
      <x:c r="S73" s="36" t="n">
        <x:v>6.083333333333333</x:v>
      </x:c>
      <x:c r="T73" s="32" t="n">
        <x:f>AVERAGE('05_Peso_Creditos_Core'!D73:O73)</x:f>
        <x:v>0.030671296296296294</x:v>
      </x:c>
      <x:c r="U73" s="32" t="n">
        <x:f>MEDIAN('05_Peso_Creditos_Core'!D73:O73)</x:f>
        <x:v>0.02638888888888889</x:v>
      </x:c>
      <x:c r="V73" s="34" t="n">
        <x:f>IF(COUNT('06_Posicion_Core'!D73:P73)=0,"",MEDIAN('06_Posicion_Core'!D73:P73))</x:f>
        <x:v>41.66666666666667</x:v>
      </x:c>
      <x:c r="W73" s="26" t="str">
        <x:f>IF(V73="","NR",IF(V73&lt;=25,"E1 Fundamentos",IF(V73&lt;=50,"E2 Fundamentos de ingeniería",IF(V73&lt;=75,"E3 Formación profesional","E4 Integración/especialización"))))</x:f>
        <x:v>E2 Fundamentos de ingeniería</x:v>
      </x:c>
      <x:c r="X73" s="26" t="n">
        <x:f>IF(COUNT('07_Profundidad_Core'!D73:P73)=0,"",MEDIAN('07_Profundidad_Core'!D73:P73))</x:f>
        <x:v>2</x:v>
      </x:c>
      <x:c r="Y73" s="26" t="str">
        <x:f>IF(X73="","NR",IF(X73=INT(X73),"N"&amp;TEXT(X73,"0"),"N"&amp;TEXT(INT(X73),"0")&amp;"–N"&amp;TEXT(INT(X73)+1,"0")))</x:f>
        <x:v>N2</x:v>
      </x:c>
      <x:c r="Z73" s="32" t="n">
        <x:v>0</x:v>
      </x:c>
      <x:c r="AA73" s="32" t="n">
        <x:v>0.1111111111111111</x:v>
      </x:c>
      <x:c r="AB73" s="26" t="str">
        <x:f>IF(M73&gt;=0.75,"Universal / núcleo",IF(M73&gt;=0.5,"Consolidada",IF(M73&gt;=0.25,"Selectiva","Baja prevalencia")))</x:f>
        <x:v>Consolidada</x:v>
      </x:c>
      <x:c r="AC73" s="26" t="str">
        <x:v>No</x:v>
      </x:c>
      <x:c r="AD73" s="26" t="str">
        <x:f>IF(AND(AC73="Sí",L73&gt;=2,M73&lt;0.5,V73&gt;=45),"Emergente en grado",IF(AND(AC73="Sí",L73&lt;=1,Q73&gt;=2),"Emergente desde nivel avanzado",IF(AND(M73&lt;0.25,L73&gt;=1),"Nicho / especialización","")))</x:f>
      </x:c>
      <x:c r="AE73" s="26" t="str"/>
      <x:c r="AF73" s="26" t="str"/>
      <x:c r="AG73" s="26" t="str">
        <x:f>IF(AND(AB73="Universal / núcleo",AE73="Alta"),"Muy alta",IF(AND(OR(AD73="Emergente en grado",AD73="Emergente desde nivel avanzado"),AE73="Alta"),"Muy alta",IF(OR(AB73="Universal / núcleo",AB73="Consolidada",AE73="Alta"),"Alta",IF(OR(AD73&lt;&gt;"",AE73="Media"),"Media","Baja"))))</x:f>
        <x:v>Alta</x:v>
      </x:c>
      <x:c r="AH73" s="26" t="str">
        <x:v>Comparar con la malla EPN Agro antes de decidir mantener/reforzar/integrar/añadir.</x:v>
      </x:c>
    </x:row>
    <x:row r="74">
      <x:c r="A74" s="26" t="str">
        <x:v>A10</x:v>
      </x:c>
      <x:c r="B74" s="26" t="str">
        <x:v>Producción Agropecuaria, Materias Primas y Territorio</x:v>
      </x:c>
      <x:c r="C74" s="26" t="str">
        <x:v>S32</x:v>
      </x:c>
      <x:c r="D74" s="26" t="str">
        <x:v>Producción animal</x:v>
      </x:c>
      <x:c r="E74" s="26" t="str">
        <x:v>F1002</x:v>
      </x:c>
      <x:c r="F74" s="26" t="str">
        <x:v>Producción animal y zootecnia</x:v>
      </x:c>
      <x:c r="G74" s="26" t="str">
        <x:v>Producción animal y zootecnia.</x:v>
      </x:c>
      <x:c r="H74" s="26" t="n">
        <x:f>COUNTIF('04_Presencia_Curriculos'!D74:X74,"&gt;0")</x:f>
        <x:v>11</x:v>
      </x:c>
      <x:c r="I74" s="32" t="n">
        <x:f>H74/'01_Metodologia'!$F$4</x:f>
        <x:v>0.5238095238095238</x:v>
      </x:c>
      <x:c r="J74" s="26" t="n">
        <x:f>COUNTIF('04_Presencia_Curriculos'!D74:Q74,"&gt;0")</x:f>
        <x:v>9</x:v>
      </x:c>
      <x:c r="K74" s="32" t="n">
        <x:f>J74/'01_Metodologia'!$F$5</x:f>
        <x:v>0.6428571428571429</x:v>
      </x:c>
      <x:c r="L74" s="26" t="n">
        <x:f>COUNTIF('04_Presencia_Curriculos'!D74:P74,"&gt;0")</x:f>
        <x:v>8</x:v>
      </x:c>
      <x:c r="M74" s="32" t="n">
        <x:f>L74/'01_Metodologia'!$F$6</x:f>
        <x:v>0.6153846153846154</x:v>
      </x:c>
      <x:c r="N74" s="26" t="n">
        <x:f>COUNTIF('04_Presencia_Curriculos'!D74:P74,2)</x:f>
        <x:v>8</x:v>
      </x:c>
      <x:c r="O74" s="32" t="n">
        <x:f>N74/'01_Metodologia'!$F$6</x:f>
        <x:v>0.6153846153846154</x:v>
      </x:c>
      <x:c r="P74" s="26" t="n">
        <x:f>COUNTIF('04_Presencia_Curriculos'!D74:P74,1)</x:f>
        <x:v>0</x:v>
      </x:c>
      <x:c r="Q74" s="26" t="n">
        <x:f>COUNTIF('04_Presencia_Curriculos'!R74:X74,"&gt;0")</x:f>
        <x:v>2</x:v>
      </x:c>
      <x:c r="R74" s="32" t="n">
        <x:f>Q74/'01_Metodologia'!$F$7</x:f>
        <x:v>0.2857142857142857</x:v>
      </x:c>
      <x:c r="S74" s="36" t="n">
        <x:v>3.3333333333333335</x:v>
      </x:c>
      <x:c r="T74" s="32" t="n">
        <x:f>AVERAGE('05_Peso_Creditos_Core'!D74:O74)</x:f>
        <x:v>0.016435185185185188</x:v>
      </x:c>
      <x:c r="U74" s="32" t="n">
        <x:f>MEDIAN('05_Peso_Creditos_Core'!D74:O74)</x:f>
        <x:v>0.0125</x:v>
      </x:c>
      <x:c r="V74" s="34" t="n">
        <x:f>IF(COUNT('06_Posicion_Core'!D74:P74)=0,"",MEDIAN('06_Posicion_Core'!D74:P74))</x:f>
        <x:v>31.25</x:v>
      </x:c>
      <x:c r="W74" s="26" t="str">
        <x:f>IF(V74="","NR",IF(V74&lt;=25,"E1 Fundamentos",IF(V74&lt;=50,"E2 Fundamentos de ingeniería",IF(V74&lt;=75,"E3 Formación profesional","E4 Integración/especialización"))))</x:f>
        <x:v>E2 Fundamentos de ingeniería</x:v>
      </x:c>
      <x:c r="X74" s="26" t="n">
        <x:f>IF(COUNT('07_Profundidad_Core'!D74:P74)=0,"",MEDIAN('07_Profundidad_Core'!D74:P74))</x:f>
        <x:v>2</x:v>
      </x:c>
      <x:c r="Y74" s="26" t="str">
        <x:f>IF(X74="","NR",IF(X74=INT(X74),"N"&amp;TEXT(X74,"0"),"N"&amp;TEXT(INT(X74),"0")&amp;"–N"&amp;TEXT(INT(X74)+1,"0")))</x:f>
        <x:v>N2</x:v>
      </x:c>
      <x:c r="Z74" s="32" t="n">
        <x:v>0</x:v>
      </x:c>
      <x:c r="AA74" s="32" t="n">
        <x:v>0</x:v>
      </x:c>
      <x:c r="AB74" s="26" t="str">
        <x:f>IF(M74&gt;=0.75,"Universal / núcleo",IF(M74&gt;=0.5,"Consolidada",IF(M74&gt;=0.25,"Selectiva","Baja prevalencia")))</x:f>
        <x:v>Consolidada</x:v>
      </x:c>
      <x:c r="AC74" s="26" t="str">
        <x:v>No</x:v>
      </x:c>
      <x:c r="AD74" s="26" t="str">
        <x:f>IF(AND(AC74="Sí",L74&gt;=2,M74&lt;0.5,V74&gt;=45),"Emergente en grado",IF(AND(AC74="Sí",L74&lt;=1,Q74&gt;=2),"Emergente desde nivel avanzado",IF(AND(M74&lt;0.25,L74&gt;=1),"Nicho / especialización","")))</x:f>
      </x:c>
      <x:c r="AE74" s="26" t="str"/>
      <x:c r="AF74" s="26" t="str"/>
      <x:c r="AG74" s="26" t="str">
        <x:f>IF(AND(AB74="Universal / núcleo",AE74="Alta"),"Muy alta",IF(AND(OR(AD74="Emergente en grado",AD74="Emergente desde nivel avanzado"),AE74="Alta"),"Muy alta",IF(OR(AB74="Universal / núcleo",AB74="Consolidada",AE74="Alta"),"Alta",IF(OR(AD74&lt;&gt;"",AE74="Media"),"Media","Baja"))))</x:f>
        <x:v>Alta</x:v>
      </x:c>
      <x:c r="AH74" s="26" t="str">
        <x:v>Comparar con la malla EPN Agro antes de decidir mantener/reforzar/integrar/añadir.</x:v>
      </x:c>
    </x:row>
    <x:row r="75">
      <x:c r="A75" s="26" t="str">
        <x:v>A10</x:v>
      </x:c>
      <x:c r="B75" s="26" t="str">
        <x:v>Producción Agropecuaria, Materias Primas y Territorio</x:v>
      </x:c>
      <x:c r="C75" s="26" t="str">
        <x:v>S33</x:v>
      </x:c>
      <x:c r="D75" s="26" t="str">
        <x:v>Materias primas</x:v>
      </x:c>
      <x:c r="E75" s="26" t="str">
        <x:v>F1003</x:v>
      </x:c>
      <x:c r="F75" s="26" t="str">
        <x:v>Materias primas agroalimentarias y aprovisionamiento</x:v>
      </x:c>
      <x:c r="G75" s="26" t="str">
        <x:v>Materias primas y abastecimiento.</x:v>
      </x:c>
      <x:c r="H75" s="26" t="n">
        <x:f>COUNTIF('04_Presencia_Curriculos'!D75:X75,"&gt;0")</x:f>
        <x:v>4</x:v>
      </x:c>
      <x:c r="I75" s="32" t="n">
        <x:f>H75/'01_Metodologia'!$F$4</x:f>
        <x:v>0.19047619047619047</x:v>
      </x:c>
      <x:c r="J75" s="26" t="n">
        <x:f>COUNTIF('04_Presencia_Curriculos'!D75:Q75,"&gt;0")</x:f>
        <x:v>3</x:v>
      </x:c>
      <x:c r="K75" s="32" t="n">
        <x:f>J75/'01_Metodologia'!$F$5</x:f>
        <x:v>0.21428571428571427</x:v>
      </x:c>
      <x:c r="L75" s="26" t="n">
        <x:f>COUNTIF('04_Presencia_Curriculos'!D75:P75,"&gt;0")</x:f>
        <x:v>2</x:v>
      </x:c>
      <x:c r="M75" s="32" t="n">
        <x:f>L75/'01_Metodologia'!$F$6</x:f>
        <x:v>0.15384615384615385</x:v>
      </x:c>
      <x:c r="N75" s="26" t="n">
        <x:f>COUNTIF('04_Presencia_Curriculos'!D75:P75,2)</x:f>
        <x:v>2</x:v>
      </x:c>
      <x:c r="O75" s="32" t="n">
        <x:f>N75/'01_Metodologia'!$F$6</x:f>
        <x:v>0.15384615384615385</x:v>
      </x:c>
      <x:c r="P75" s="26" t="n">
        <x:f>COUNTIF('04_Presencia_Curriculos'!D75:P75,1)</x:f>
        <x:v>0</x:v>
      </x:c>
      <x:c r="Q75" s="26" t="n">
        <x:f>COUNTIF('04_Presencia_Curriculos'!R75:X75,"&gt;0")</x:f>
        <x:v>1</x:v>
      </x:c>
      <x:c r="R75" s="32" t="n">
        <x:f>Q75/'01_Metodologia'!$F$7</x:f>
        <x:v>0.14285714285714285</x:v>
      </x:c>
      <x:c r="S75" s="36" t="n">
        <x:v>1.3333333333333333</x:v>
      </x:c>
      <x:c r="T75" s="32" t="n">
        <x:f>AVERAGE('05_Peso_Creditos_Core'!D75:O75)</x:f>
        <x:v>0.005555555555555556</x:v>
      </x:c>
      <x:c r="U75" s="32" t="n">
        <x:f>MEDIAN('05_Peso_Creditos_Core'!D75:O75)</x:f>
        <x:v>0</x:v>
      </x:c>
      <x:c r="V75" s="34" t="n">
        <x:f>IF(COUNT('06_Posicion_Core'!D75:P75)=0,"",MEDIAN('06_Posicion_Core'!D75:P75))</x:f>
        <x:v>50</x:v>
      </x:c>
      <x:c r="W75" s="26" t="str">
        <x:f>IF(V75="","NR",IF(V75&lt;=25,"E1 Fundamentos",IF(V75&lt;=50,"E2 Fundamentos de ingeniería",IF(V75&lt;=75,"E3 Formación profesional","E4 Integración/especialización"))))</x:f>
        <x:v>E2 Fundamentos de ingeniería</x:v>
      </x:c>
      <x:c r="X75" s="26" t="n">
        <x:f>IF(COUNT('07_Profundidad_Core'!D75:P75)=0,"",MEDIAN('07_Profundidad_Core'!D75:P75))</x:f>
        <x:v>2</x:v>
      </x:c>
      <x:c r="Y75" s="26" t="str">
        <x:f>IF(X75="","NR",IF(X75=INT(X75),"N"&amp;TEXT(X75,"0"),"N"&amp;TEXT(INT(X75),"0")&amp;"–N"&amp;TEXT(INT(X75)+1,"0")))</x:f>
        <x:v>N2</x:v>
      </x:c>
      <x:c r="Z75" s="32" t="n">
        <x:v>0</x:v>
      </x:c>
      <x:c r="AA75" s="32" t="n">
        <x:v>0</x:v>
      </x:c>
      <x:c r="AB75" s="26" t="str">
        <x:f>IF(M75&gt;=0.75,"Universal / núcleo",IF(M75&gt;=0.5,"Consolidada",IF(M75&gt;=0.25,"Selectiva","Baja prevalencia")))</x:f>
        <x:v>Baja prevalencia</x:v>
      </x:c>
      <x:c r="AC75" s="26" t="str">
        <x:v>No</x:v>
      </x:c>
      <x:c r="AD75" s="26" t="str">
        <x:f>IF(AND(AC75="Sí",L75&gt;=2,M75&lt;0.5,V75&gt;=45),"Emergente en grado",IF(AND(AC75="Sí",L75&lt;=1,Q75&gt;=2),"Emergente desde nivel avanzado",IF(AND(M75&lt;0.25,L75&gt;=1),"Nicho / especialización","")))</x:f>
        <x:v>Nicho / especialización</x:v>
      </x:c>
      <x:c r="AE75" s="26" t="str"/>
      <x:c r="AF75" s="26" t="str"/>
      <x:c r="AG75" s="26" t="str">
        <x:f>IF(AND(AB75="Universal / núcleo",AE75="Alta"),"Muy alta",IF(AND(OR(AD75="Emergente en grado",AD75="Emergente desde nivel avanzado"),AE75="Alta"),"Muy alta",IF(OR(AB75="Universal / núcleo",AB75="Consolidada",AE75="Alta"),"Alta",IF(OR(AD75&lt;&gt;"",AE75="Media"),"Media","Baja"))))</x:f>
        <x:v>Media</x:v>
      </x:c>
      <x:c r="AH75" s="26" t="str">
        <x:v>Comparar con la malla EPN Agro antes de decidir mantener/reforzar/integrar/añadir.</x:v>
      </x:c>
    </x:row>
    <x:row r="76">
      <x:c r="A76" s="26" t="str">
        <x:v>A10</x:v>
      </x:c>
      <x:c r="B76" s="26" t="str">
        <x:v>Producción Agropecuaria, Materias Primas y Territorio</x:v>
      </x:c>
      <x:c r="C76" s="26" t="str">
        <x:v>S33</x:v>
      </x:c>
      <x:c r="D76" s="26" t="str">
        <x:v>Materias primas</x:v>
      </x:c>
      <x:c r="E76" s="26" t="str">
        <x:v>F1004</x:v>
      </x:c>
      <x:c r="F76" s="26" t="str">
        <x:v>Poscosecha y conservación de materia prima</x:v>
      </x:c>
      <x:c r="G76" s="26" t="str">
        <x:v>Manejo/fisiología poscosecha.</x:v>
      </x:c>
      <x:c r="H76" s="26" t="n">
        <x:f>COUNTIF('04_Presencia_Curriculos'!D76:X76,"&gt;0")</x:f>
        <x:v>0</x:v>
      </x:c>
      <x:c r="I76" s="32" t="n">
        <x:f>H76/'01_Metodologia'!$F$4</x:f>
        <x:v>0</x:v>
      </x:c>
      <x:c r="J76" s="26" t="n">
        <x:f>COUNTIF('04_Presencia_Curriculos'!D76:Q76,"&gt;0")</x:f>
        <x:v>0</x:v>
      </x:c>
      <x:c r="K76" s="32" t="n">
        <x:f>J76/'01_Metodologia'!$F$5</x:f>
        <x:v>0</x:v>
      </x:c>
      <x:c r="L76" s="26" t="n">
        <x:f>COUNTIF('04_Presencia_Curriculos'!D76:P76,"&gt;0")</x:f>
        <x:v>0</x:v>
      </x:c>
      <x:c r="M76" s="32" t="n">
        <x:f>L76/'01_Metodologia'!$F$6</x:f>
        <x:v>0</x:v>
      </x:c>
      <x:c r="N76" s="26" t="n">
        <x:f>COUNTIF('04_Presencia_Curriculos'!D76:P76,2)</x:f>
        <x:v>0</x:v>
      </x:c>
      <x:c r="O76" s="32" t="n">
        <x:f>N76/'01_Metodologia'!$F$6</x:f>
        <x:v>0</x:v>
      </x:c>
      <x:c r="P76" s="26" t="n">
        <x:f>COUNTIF('04_Presencia_Curriculos'!D76:P76,1)</x:f>
        <x:v>0</x:v>
      </x:c>
      <x:c r="Q76" s="26" t="n">
        <x:f>COUNTIF('04_Presencia_Curriculos'!R76:X76,"&gt;0")</x:f>
        <x:v>0</x:v>
      </x:c>
      <x:c r="R76" s="32" t="n">
        <x:f>Q76/'01_Metodologia'!$F$7</x:f>
        <x:v>0</x:v>
      </x:c>
      <x:c r="S76" s="36" t="n">
        <x:v>0</x:v>
      </x:c>
      <x:c r="T76" s="32" t="n">
        <x:f>AVERAGE('05_Peso_Creditos_Core'!D76:O76)</x:f>
        <x:v>0</x:v>
      </x:c>
      <x:c r="U76" s="32" t="n">
        <x:f>MEDIAN('05_Peso_Creditos_Core'!D76:O76)</x:f>
        <x:v>0</x:v>
      </x:c>
      <x:c r="V76" s="34" t="str">
        <x:f>IF(COUNT('06_Posicion_Core'!D76:P76)=0,"",MEDIAN('06_Posicion_Core'!D76:P76))</x:f>
      </x:c>
      <x:c r="W76" s="26" t="str">
        <x:f>IF(V76="","NR",IF(V76&lt;=25,"E1 Fundamentos",IF(V76&lt;=50,"E2 Fundamentos de ingeniería",IF(V76&lt;=75,"E3 Formación profesional","E4 Integración/especialización"))))</x:f>
        <x:v>NR</x:v>
      </x:c>
      <x:c r="X76" s="26" t="str">
        <x:f>IF(COUNT('07_Profundidad_Core'!D76:P76)=0,"",MEDIAN('07_Profundidad_Core'!D76:P76))</x:f>
      </x:c>
      <x:c r="Y76" s="26" t="str">
        <x:f>IF(X76="","NR",IF(X76=INT(X76),"N"&amp;TEXT(X76,"0"),"N"&amp;TEXT(INT(X76),"0")&amp;"–N"&amp;TEXT(INT(X76)+1,"0")))</x:f>
        <x:v>NR</x:v>
      </x:c>
      <x:c r="Z76" s="32"/>
      <x:c r="AA76" s="32"/>
      <x:c r="AB76" s="26" t="str">
        <x:f>IF(M76&gt;=0.75,"Universal / núcleo",IF(M76&gt;=0.5,"Consolidada",IF(M76&gt;=0.25,"Selectiva","Baja prevalencia")))</x:f>
        <x:v>Baja prevalencia</x:v>
      </x:c>
      <x:c r="AC76" s="26" t="str">
        <x:v>No</x:v>
      </x:c>
      <x:c r="AD76" s="26" t="str">
        <x:f>IF(AND(AC76="Sí",L76&gt;=2,M76&lt;0.5,V76&gt;=45),"Emergente en grado",IF(AND(AC76="Sí",L76&lt;=1,Q76&gt;=2),"Emergente desde nivel avanzado",IF(AND(M76&lt;0.25,L76&gt;=1),"Nicho / especialización","")))</x:f>
      </x:c>
      <x:c r="AE76" s="26" t="str"/>
      <x:c r="AF76" s="26" t="str"/>
      <x:c r="AG76" s="26" t="str">
        <x:f>IF(AND(AB76="Universal / núcleo",AE76="Alta"),"Muy alta",IF(AND(OR(AD76="Emergente en grado",AD76="Emergente desde nivel avanzado"),AE76="Alta"),"Muy alta",IF(OR(AB76="Universal / núcleo",AB76="Consolidada",AE76="Alta"),"Alta",IF(OR(AD76&lt;&gt;"",AE76="Media"),"Media","Baja"))))</x:f>
        <x:v>Baja</x:v>
      </x:c>
      <x:c r="AH76" s="26" t="str">
        <x:v>Comparar con la malla EPN Agro antes de decidir mantener/reforzar/integrar/añadir.</x:v>
      </x:c>
    </x:row>
    <x:row r="77">
      <x:c r="A77" s="26" t="str">
        <x:v>A10</x:v>
      </x:c>
      <x:c r="B77" s="26" t="str">
        <x:v>Producción Agropecuaria, Materias Primas y Territorio</x:v>
      </x:c>
      <x:c r="C77" s="26" t="str">
        <x:v>S34</x:v>
      </x:c>
      <x:c r="D77" s="26" t="str">
        <x:v>Territorio</x:v>
      </x:c>
      <x:c r="E77" s="26" t="str">
        <x:v>F1005</x:v>
      </x:c>
      <x:c r="F77" s="26" t="str">
        <x:v>Edafología, geología y climatología</x:v>
      </x:c>
      <x:c r="G77" s="26" t="str">
        <x:v>Suelos, geología y clima.</x:v>
      </x:c>
      <x:c r="H77" s="26" t="n">
        <x:f>COUNTIF('04_Presencia_Curriculos'!D77:X77,"&gt;0")</x:f>
        <x:v>6</x:v>
      </x:c>
      <x:c r="I77" s="32" t="n">
        <x:f>H77/'01_Metodologia'!$F$4</x:f>
        <x:v>0.2857142857142857</x:v>
      </x:c>
      <x:c r="J77" s="26" t="n">
        <x:f>COUNTIF('04_Presencia_Curriculos'!D77:Q77,"&gt;0")</x:f>
        <x:v>6</x:v>
      </x:c>
      <x:c r="K77" s="32" t="n">
        <x:f>J77/'01_Metodologia'!$F$5</x:f>
        <x:v>0.42857142857142855</x:v>
      </x:c>
      <x:c r="L77" s="26" t="n">
        <x:f>COUNTIF('04_Presencia_Curriculos'!D77:P77,"&gt;0")</x:f>
        <x:v>5</x:v>
      </x:c>
      <x:c r="M77" s="32" t="n">
        <x:f>L77/'01_Metodologia'!$F$6</x:f>
        <x:v>0.38461538461538464</x:v>
      </x:c>
      <x:c r="N77" s="26" t="n">
        <x:f>COUNTIF('04_Presencia_Curriculos'!D77:P77,2)</x:f>
        <x:v>5</x:v>
      </x:c>
      <x:c r="O77" s="32" t="n">
        <x:f>N77/'01_Metodologia'!$F$6</x:f>
        <x:v>0.38461538461538464</x:v>
      </x:c>
      <x:c r="P77" s="26" t="n">
        <x:f>COUNTIF('04_Presencia_Curriculos'!D77:P77,1)</x:f>
        <x:v>0</x:v>
      </x:c>
      <x:c r="Q77" s="26" t="n">
        <x:f>COUNTIF('04_Presencia_Curriculos'!R77:X77,"&gt;0")</x:f>
        <x:v>0</x:v>
      </x:c>
      <x:c r="R77" s="32" t="n">
        <x:f>Q77/'01_Metodologia'!$F$7</x:f>
        <x:v>0</x:v>
      </x:c>
      <x:c r="S77" s="36" t="n">
        <x:v>2.375</x:v>
      </x:c>
      <x:c r="T77" s="32" t="n">
        <x:f>AVERAGE('05_Peso_Creditos_Core'!D77:O77)</x:f>
        <x:v>0.009895833333333335</x:v>
      </x:c>
      <x:c r="U77" s="32" t="n">
        <x:f>MEDIAN('05_Peso_Creditos_Core'!D77:O77)</x:f>
        <x:v>0</x:v>
      </x:c>
      <x:c r="V77" s="34" t="n">
        <x:f>IF(COUNT('06_Posicion_Core'!D77:P77)=0,"",MEDIAN('06_Posicion_Core'!D77:P77))</x:f>
        <x:v>18.75</x:v>
      </x:c>
      <x:c r="W77" s="26" t="str">
        <x:f>IF(V77="","NR",IF(V77&lt;=25,"E1 Fundamentos",IF(V77&lt;=50,"E2 Fundamentos de ingeniería",IF(V77&lt;=75,"E3 Formación profesional","E4 Integración/especialización"))))</x:f>
        <x:v>E1 Fundamentos</x:v>
      </x:c>
      <x:c r="X77" s="26" t="n">
        <x:f>IF(COUNT('07_Profundidad_Core'!D77:P77)=0,"",MEDIAN('07_Profundidad_Core'!D77:P77))</x:f>
        <x:v>2</x:v>
      </x:c>
      <x:c r="Y77" s="26" t="str">
        <x:f>IF(X77="","NR",IF(X77=INT(X77),"N"&amp;TEXT(X77,"0"),"N"&amp;TEXT(INT(X77),"0")&amp;"–N"&amp;TEXT(INT(X77)+1,"0")))</x:f>
        <x:v>N2</x:v>
      </x:c>
      <x:c r="Z77" s="32" t="n">
        <x:v>0</x:v>
      </x:c>
      <x:c r="AA77" s="32" t="n">
        <x:v>0</x:v>
      </x:c>
      <x:c r="AB77" s="26" t="str">
        <x:f>IF(M77&gt;=0.75,"Universal / núcleo",IF(M77&gt;=0.5,"Consolidada",IF(M77&gt;=0.25,"Selectiva","Baja prevalencia")))</x:f>
        <x:v>Selectiva</x:v>
      </x:c>
      <x:c r="AC77" s="26" t="str">
        <x:v>No</x:v>
      </x:c>
      <x:c r="AD77" s="26" t="str">
        <x:f>IF(AND(AC77="Sí",L77&gt;=2,M77&lt;0.5,V77&gt;=45),"Emergente en grado",IF(AND(AC77="Sí",L77&lt;=1,Q77&gt;=2),"Emergente desde nivel avanzado",IF(AND(M77&lt;0.25,L77&gt;=1),"Nicho / especialización","")))</x:f>
      </x:c>
      <x:c r="AE77" s="26" t="str"/>
      <x:c r="AF77" s="26" t="str"/>
      <x:c r="AG77" s="26" t="str">
        <x:f>IF(AND(AB77="Universal / núcleo",AE77="Alta"),"Muy alta",IF(AND(OR(AD77="Emergente en grado",AD77="Emergente desde nivel avanzado"),AE77="Alta"),"Muy alta",IF(OR(AB77="Universal / núcleo",AB77="Consolidada",AE77="Alta"),"Alta",IF(OR(AD77&lt;&gt;"",AE77="Media"),"Media","Baja"))))</x:f>
        <x:v>Baja</x:v>
      </x:c>
      <x:c r="AH77" s="26" t="str">
        <x:v>Comparar con la malla EPN Agro antes de decidir mantener/reforzar/integrar/añadir.</x:v>
      </x:c>
    </x:row>
    <x:row r="78">
      <x:c r="A78" s="26" t="str">
        <x:v>A10</x:v>
      </x:c>
      <x:c r="B78" s="26" t="str">
        <x:v>Producción Agropecuaria, Materias Primas y Territorio</x:v>
      </x:c>
      <x:c r="C78" s="26" t="str">
        <x:v>S34</x:v>
      </x:c>
      <x:c r="D78" s="26" t="str">
        <x:v>Territorio</x:v>
      </x:c>
      <x:c r="E78" s="26" t="str">
        <x:v>F1006</x:v>
      </x:c>
      <x:c r="F78" s="26" t="str">
        <x:v>Geomática, topografía y cartografía</x:v>
      </x:c>
      <x:c r="G78" s="26" t="str">
        <x:v>Topografía, GIS y teledetección.</x:v>
      </x:c>
      <x:c r="H78" s="26" t="n">
        <x:f>COUNTIF('04_Presencia_Curriculos'!D78:X78,"&gt;0")</x:f>
        <x:v>6</x:v>
      </x:c>
      <x:c r="I78" s="32" t="n">
        <x:f>H78/'01_Metodologia'!$F$4</x:f>
        <x:v>0.2857142857142857</x:v>
      </x:c>
      <x:c r="J78" s="26" t="n">
        <x:f>COUNTIF('04_Presencia_Curriculos'!D78:Q78,"&gt;0")</x:f>
        <x:v>6</x:v>
      </x:c>
      <x:c r="K78" s="32" t="n">
        <x:f>J78/'01_Metodologia'!$F$5</x:f>
        <x:v>0.42857142857142855</x:v>
      </x:c>
      <x:c r="L78" s="26" t="n">
        <x:f>COUNTIF('04_Presencia_Curriculos'!D78:P78,"&gt;0")</x:f>
        <x:v>5</x:v>
      </x:c>
      <x:c r="M78" s="32" t="n">
        <x:f>L78/'01_Metodologia'!$F$6</x:f>
        <x:v>0.38461538461538464</x:v>
      </x:c>
      <x:c r="N78" s="26" t="n">
        <x:f>COUNTIF('04_Presencia_Curriculos'!D78:P78,2)</x:f>
        <x:v>5</x:v>
      </x:c>
      <x:c r="O78" s="32" t="n">
        <x:f>N78/'01_Metodologia'!$F$6</x:f>
        <x:v>0.38461538461538464</x:v>
      </x:c>
      <x:c r="P78" s="26" t="n">
        <x:f>COUNTIF('04_Presencia_Curriculos'!D78:P78,1)</x:f>
        <x:v>0</x:v>
      </x:c>
      <x:c r="Q78" s="26" t="n">
        <x:f>COUNTIF('04_Presencia_Curriculos'!R78:X78,"&gt;0")</x:f>
        <x:v>0</x:v>
      </x:c>
      <x:c r="R78" s="32" t="n">
        <x:f>Q78/'01_Metodologia'!$F$7</x:f>
        <x:v>0</x:v>
      </x:c>
      <x:c r="S78" s="36" t="n">
        <x:v>2.4166666666666665</x:v>
      </x:c>
      <x:c r="T78" s="32" t="n">
        <x:f>AVERAGE('05_Peso_Creditos_Core'!D78:O78)</x:f>
        <x:v>0.010069444444444445</x:v>
      </x:c>
      <x:c r="U78" s="32" t="n">
        <x:f>MEDIAN('05_Peso_Creditos_Core'!D78:O78)</x:f>
        <x:v>0</x:v>
      </x:c>
      <x:c r="V78" s="34" t="n">
        <x:f>IF(COUNT('06_Posicion_Core'!D78:P78)=0,"",MEDIAN('06_Posicion_Core'!D78:P78))</x:f>
        <x:v>43.75</x:v>
      </x:c>
      <x:c r="W78" s="26" t="str">
        <x:f>IF(V78="","NR",IF(V78&lt;=25,"E1 Fundamentos",IF(V78&lt;=50,"E2 Fundamentos de ingeniería",IF(V78&lt;=75,"E3 Formación profesional","E4 Integración/especialización"))))</x:f>
        <x:v>E2 Fundamentos de ingeniería</x:v>
      </x:c>
      <x:c r="X78" s="26" t="n">
        <x:f>IF(COUNT('07_Profundidad_Core'!D78:P78)=0,"",MEDIAN('07_Profundidad_Core'!D78:P78))</x:f>
        <x:v>2</x:v>
      </x:c>
      <x:c r="Y78" s="26" t="str">
        <x:f>IF(X78="","NR",IF(X78=INT(X78),"N"&amp;TEXT(X78,"0"),"N"&amp;TEXT(INT(X78),"0")&amp;"–N"&amp;TEXT(INT(X78)+1,"0")))</x:f>
        <x:v>N2</x:v>
      </x:c>
      <x:c r="Z78" s="32" t="n">
        <x:v>0</x:v>
      </x:c>
      <x:c r="AA78" s="32" t="n">
        <x:v>0</x:v>
      </x:c>
      <x:c r="AB78" s="26" t="str">
        <x:f>IF(M78&gt;=0.75,"Universal / núcleo",IF(M78&gt;=0.5,"Consolidada",IF(M78&gt;=0.25,"Selectiva","Baja prevalencia")))</x:f>
        <x:v>Selectiva</x:v>
      </x:c>
      <x:c r="AC78" s="26" t="str">
        <x:v>No</x:v>
      </x:c>
      <x:c r="AD78" s="26" t="str">
        <x:f>IF(AND(AC78="Sí",L78&gt;=2,M78&lt;0.5,V78&gt;=45),"Emergente en grado",IF(AND(AC78="Sí",L78&lt;=1,Q78&gt;=2),"Emergente desde nivel avanzado",IF(AND(M78&lt;0.25,L78&gt;=1),"Nicho / especialización","")))</x:f>
      </x:c>
      <x:c r="AE78" s="26" t="str"/>
      <x:c r="AF78" s="26" t="str"/>
      <x:c r="AG78" s="26" t="str">
        <x:f>IF(AND(AB78="Universal / núcleo",AE78="Alta"),"Muy alta",IF(AND(OR(AD78="Emergente en grado",AD78="Emergente desde nivel avanzado"),AE78="Alta"),"Muy alta",IF(OR(AB78="Universal / núcleo",AB78="Consolidada",AE78="Alta"),"Alta",IF(OR(AD78&lt;&gt;"",AE78="Media"),"Media","Baja"))))</x:f>
        <x:v>Baja</x:v>
      </x:c>
      <x:c r="AH78" s="26" t="str">
        <x:v>Comparar con la malla EPN Agro antes de decidir mantener/reforzar/integrar/añadir.</x:v>
      </x:c>
    </x:row>
    <x:row r="79">
      <x:c r="A79" s="26" t="str">
        <x:v>A10</x:v>
      </x:c>
      <x:c r="B79" s="26" t="str">
        <x:v>Producción Agropecuaria, Materias Primas y Territorio</x:v>
      </x:c>
      <x:c r="C79" s="26" t="str">
        <x:v>S35</x:v>
      </x:c>
      <x:c r="D79" s="26" t="str">
        <x:v>Ingeniería agraria</x:v>
      </x:c>
      <x:c r="E79" s="26" t="str">
        <x:v>F1007</x:v>
      </x:c>
      <x:c r="F79" s="26" t="str">
        <x:v>Riego, drenaje y mecanización agrícola</x:v>
      </x:c>
      <x:c r="G79" s="26" t="str">
        <x:v>Riego, drenaje y maquinaria agrícola.</x:v>
      </x:c>
      <x:c r="H79" s="26" t="n">
        <x:f>COUNTIF('04_Presencia_Curriculos'!D79:X79,"&gt;0")</x:f>
        <x:v>3</x:v>
      </x:c>
      <x:c r="I79" s="32" t="n">
        <x:f>H79/'01_Metodologia'!$F$4</x:f>
        <x:v>0.14285714285714285</x:v>
      </x:c>
      <x:c r="J79" s="26" t="n">
        <x:f>COUNTIF('04_Presencia_Curriculos'!D79:Q79,"&gt;0")</x:f>
        <x:v>3</x:v>
      </x:c>
      <x:c r="K79" s="32" t="n">
        <x:f>J79/'01_Metodologia'!$F$5</x:f>
        <x:v>0.21428571428571427</x:v>
      </x:c>
      <x:c r="L79" s="26" t="n">
        <x:f>COUNTIF('04_Presencia_Curriculos'!D79:P79,"&gt;0")</x:f>
        <x:v>2</x:v>
      </x:c>
      <x:c r="M79" s="32" t="n">
        <x:f>L79/'01_Metodologia'!$F$6</x:f>
        <x:v>0.15384615384615385</x:v>
      </x:c>
      <x:c r="N79" s="26" t="n">
        <x:f>COUNTIF('04_Presencia_Curriculos'!D79:P79,2)</x:f>
        <x:v>2</x:v>
      </x:c>
      <x:c r="O79" s="32" t="n">
        <x:f>N79/'01_Metodologia'!$F$6</x:f>
        <x:v>0.15384615384615385</x:v>
      </x:c>
      <x:c r="P79" s="26" t="n">
        <x:f>COUNTIF('04_Presencia_Curriculos'!D79:P79,1)</x:f>
        <x:v>0</x:v>
      </x:c>
      <x:c r="Q79" s="26" t="n">
        <x:f>COUNTIF('04_Presencia_Curriculos'!R79:X79,"&gt;0")</x:f>
        <x:v>0</x:v>
      </x:c>
      <x:c r="R79" s="32" t="n">
        <x:f>Q79/'01_Metodologia'!$F$7</x:f>
        <x:v>0</x:v>
      </x:c>
      <x:c r="S79" s="36" t="n">
        <x:v>0.375</x:v>
      </x:c>
      <x:c r="T79" s="32" t="n">
        <x:f>AVERAGE('05_Peso_Creditos_Core'!D79:O79)</x:f>
        <x:v>0.0015624999999999999</x:v>
      </x:c>
      <x:c r="U79" s="32" t="n">
        <x:f>MEDIAN('05_Peso_Creditos_Core'!D79:O79)</x:f>
        <x:v>0</x:v>
      </x:c>
      <x:c r="V79" s="34" t="n">
        <x:f>IF(COUNT('06_Posicion_Core'!D79:P79)=0,"",MEDIAN('06_Posicion_Core'!D79:P79))</x:f>
        <x:v>31.25</x:v>
      </x:c>
      <x:c r="W79" s="26" t="str">
        <x:f>IF(V79="","NR",IF(V79&lt;=25,"E1 Fundamentos",IF(V79&lt;=50,"E2 Fundamentos de ingeniería",IF(V79&lt;=75,"E3 Formación profesional","E4 Integración/especialización"))))</x:f>
        <x:v>E2 Fundamentos de ingeniería</x:v>
      </x:c>
      <x:c r="X79" s="26" t="n">
        <x:f>IF(COUNT('07_Profundidad_Core'!D79:P79)=0,"",MEDIAN('07_Profundidad_Core'!D79:P79))</x:f>
        <x:v>2</x:v>
      </x:c>
      <x:c r="Y79" s="26" t="str">
        <x:f>IF(X79="","NR",IF(X79=INT(X79),"N"&amp;TEXT(X79,"0"),"N"&amp;TEXT(INT(X79),"0")&amp;"–N"&amp;TEXT(INT(X79)+1,"0")))</x:f>
        <x:v>N2</x:v>
      </x:c>
      <x:c r="Z79" s="32" t="n">
        <x:v>0</x:v>
      </x:c>
      <x:c r="AA79" s="32" t="n">
        <x:v>0</x:v>
      </x:c>
      <x:c r="AB79" s="26" t="str">
        <x:f>IF(M79&gt;=0.75,"Universal / núcleo",IF(M79&gt;=0.5,"Consolidada",IF(M79&gt;=0.25,"Selectiva","Baja prevalencia")))</x:f>
        <x:v>Baja prevalencia</x:v>
      </x:c>
      <x:c r="AC79" s="26" t="str">
        <x:v>No</x:v>
      </x:c>
      <x:c r="AD79" s="26" t="str">
        <x:f>IF(AND(AC79="Sí",L79&gt;=2,M79&lt;0.5,V79&gt;=45),"Emergente en grado",IF(AND(AC79="Sí",L79&lt;=1,Q79&gt;=2),"Emergente desde nivel avanzado",IF(AND(M79&lt;0.25,L79&gt;=1),"Nicho / especialización","")))</x:f>
        <x:v>Nicho / especialización</x:v>
      </x:c>
      <x:c r="AE79" s="26" t="str"/>
      <x:c r="AF79" s="26" t="str"/>
      <x:c r="AG79" s="26" t="str">
        <x:f>IF(AND(AB79="Universal / núcleo",AE79="Alta"),"Muy alta",IF(AND(OR(AD79="Emergente en grado",AD79="Emergente desde nivel avanzado"),AE79="Alta"),"Muy alta",IF(OR(AB79="Universal / núcleo",AB79="Consolidada",AE79="Alta"),"Alta",IF(OR(AD79&lt;&gt;"",AE79="Media"),"Media","Baja"))))</x:f>
        <x:v>Media</x:v>
      </x:c>
      <x:c r="AH79" s="26" t="str">
        <x:v>Comparar con la malla EPN Agro antes de decidir mantener/reforzar/integrar/añadir.</x:v>
      </x:c>
    </x:row>
    <x:row r="80">
      <x:c r="A80" s="26" t="str">
        <x:v>A11</x:v>
      </x:c>
      <x:c r="B80" s="26" t="str">
        <x:v>Ambiente, Sostenibilidad, Residuos y Circularidad</x:v>
      </x:c>
      <x:c r="C80" s="26" t="str">
        <x:v>S36</x:v>
      </x:c>
      <x:c r="D80" s="26" t="str">
        <x:v>Gestión ambiental</x:v>
      </x:c>
      <x:c r="E80" s="26" t="str">
        <x:v>F1101</x:v>
      </x:c>
      <x:c r="F80" s="26" t="str">
        <x:v>Ecología e impacto ambiental</x:v>
      </x:c>
      <x:c r="G80" s="26" t="str">
        <x:v>Ecología e impacto ambiental.</x:v>
      </x:c>
      <x:c r="H80" s="26" t="n">
        <x:f>COUNTIF('04_Presencia_Curriculos'!D80:X80,"&gt;0")</x:f>
        <x:v>7</x:v>
      </x:c>
      <x:c r="I80" s="32" t="n">
        <x:f>H80/'01_Metodologia'!$F$4</x:f>
        <x:v>0.3333333333333333</x:v>
      </x:c>
      <x:c r="J80" s="26" t="n">
        <x:f>COUNTIF('04_Presencia_Curriculos'!D80:Q80,"&gt;0")</x:f>
        <x:v>6</x:v>
      </x:c>
      <x:c r="K80" s="32" t="n">
        <x:f>J80/'01_Metodologia'!$F$5</x:f>
        <x:v>0.42857142857142855</x:v>
      </x:c>
      <x:c r="L80" s="26" t="n">
        <x:f>COUNTIF('04_Presencia_Curriculos'!D80:P80,"&gt;0")</x:f>
        <x:v>5</x:v>
      </x:c>
      <x:c r="M80" s="32" t="n">
        <x:f>L80/'01_Metodologia'!$F$6</x:f>
        <x:v>0.38461538461538464</x:v>
      </x:c>
      <x:c r="N80" s="26" t="n">
        <x:f>COUNTIF('04_Presencia_Curriculos'!D80:P80,2)</x:f>
        <x:v>5</x:v>
      </x:c>
      <x:c r="O80" s="32" t="n">
        <x:f>N80/'01_Metodologia'!$F$6</x:f>
        <x:v>0.38461538461538464</x:v>
      </x:c>
      <x:c r="P80" s="26" t="n">
        <x:f>COUNTIF('04_Presencia_Curriculos'!D80:P80,1)</x:f>
        <x:v>0</x:v>
      </x:c>
      <x:c r="Q80" s="26" t="n">
        <x:f>COUNTIF('04_Presencia_Curriculos'!R80:X80,"&gt;0")</x:f>
        <x:v>1</x:v>
      </x:c>
      <x:c r="R80" s="32" t="n">
        <x:f>Q80/'01_Metodologia'!$F$7</x:f>
        <x:v>0.14285714285714285</x:v>
      </x:c>
      <x:c r="S80" s="36" t="n">
        <x:v>1.8333333333333333</x:v>
      </x:c>
      <x:c r="T80" s="32" t="n">
        <x:f>AVERAGE('05_Peso_Creditos_Core'!D80:O80)</x:f>
        <x:v>0.0076388888888888895</x:v>
      </x:c>
      <x:c r="U80" s="32" t="n">
        <x:f>MEDIAN('05_Peso_Creditos_Core'!D80:O80)</x:f>
        <x:v>0</x:v>
      </x:c>
      <x:c r="V80" s="34" t="n">
        <x:f>IF(COUNT('06_Posicion_Core'!D80:P80)=0,"",MEDIAN('06_Posicion_Core'!D80:P80))</x:f>
        <x:v>68.75</x:v>
      </x:c>
      <x:c r="W80" s="26" t="str">
        <x:f>IF(V80="","NR",IF(V80&lt;=25,"E1 Fundamentos",IF(V80&lt;=50,"E2 Fundamentos de ingeniería",IF(V80&lt;=75,"E3 Formación profesional","E4 Integración/especialización"))))</x:f>
        <x:v>E3 Formación profesional</x:v>
      </x:c>
      <x:c r="X80" s="26" t="n">
        <x:f>IF(COUNT('07_Profundidad_Core'!D80:P80)=0,"",MEDIAN('07_Profundidad_Core'!D80:P80))</x:f>
        <x:v>2</x:v>
      </x:c>
      <x:c r="Y80" s="26" t="str">
        <x:f>IF(X80="","NR",IF(X80=INT(X80),"N"&amp;TEXT(X80,"0"),"N"&amp;TEXT(INT(X80),"0")&amp;"–N"&amp;TEXT(INT(X80)+1,"0")))</x:f>
        <x:v>N2</x:v>
      </x:c>
      <x:c r="Z80" s="32" t="n">
        <x:v>0</x:v>
      </x:c>
      <x:c r="AA80" s="32" t="n">
        <x:v>0</x:v>
      </x:c>
      <x:c r="AB80" s="26" t="str">
        <x:f>IF(M80&gt;=0.75,"Universal / núcleo",IF(M80&gt;=0.5,"Consolidada",IF(M80&gt;=0.25,"Selectiva","Baja prevalencia")))</x:f>
        <x:v>Selectiva</x:v>
      </x:c>
      <x:c r="AC80" s="26" t="str">
        <x:v>No</x:v>
      </x:c>
      <x:c r="AD80" s="26" t="str">
        <x:f>IF(AND(AC80="Sí",L80&gt;=2,M80&lt;0.5,V80&gt;=45),"Emergente en grado",IF(AND(AC80="Sí",L80&lt;=1,Q80&gt;=2),"Emergente desde nivel avanzado",IF(AND(M80&lt;0.25,L80&gt;=1),"Nicho / especialización","")))</x:f>
      </x:c>
      <x:c r="AE80" s="26" t="str"/>
      <x:c r="AF80" s="26" t="str"/>
      <x:c r="AG80" s="26" t="str">
        <x:f>IF(AND(AB80="Universal / núcleo",AE80="Alta"),"Muy alta",IF(AND(OR(AD80="Emergente en grado",AD80="Emergente desde nivel avanzado"),AE80="Alta"),"Muy alta",IF(OR(AB80="Universal / núcleo",AB80="Consolidada",AE80="Alta"),"Alta",IF(OR(AD80&lt;&gt;"",AE80="Media"),"Media","Baja"))))</x:f>
        <x:v>Baja</x:v>
      </x:c>
      <x:c r="AH80" s="26" t="str">
        <x:v>Comparar con la malla EPN Agro antes de decidir mantener/reforzar/integrar/añadir.</x:v>
      </x:c>
    </x:row>
    <x:row r="81">
      <x:c r="A81" s="26" t="str">
        <x:v>A11</x:v>
      </x:c>
      <x:c r="B81" s="26" t="str">
        <x:v>Ambiente, Sostenibilidad, Residuos y Circularidad</x:v>
      </x:c>
      <x:c r="C81" s="26" t="str">
        <x:v>S36</x:v>
      </x:c>
      <x:c r="D81" s="26" t="str">
        <x:v>Gestión ambiental</x:v>
      </x:c>
      <x:c r="E81" s="26" t="str">
        <x:v>F1102</x:v>
      </x:c>
      <x:c r="F81" s="26" t="str">
        <x:v>Análisis de ciclo de vida y ecodiseño</x:v>
      </x:c>
      <x:c r="G81" s="26" t="str">
        <x:v>ACV/LCA y ecodiseño.</x:v>
      </x:c>
      <x:c r="H81" s="26" t="n">
        <x:f>COUNTIF('04_Presencia_Curriculos'!D81:X81,"&gt;0")</x:f>
        <x:v>3</x:v>
      </x:c>
      <x:c r="I81" s="32" t="n">
        <x:f>H81/'01_Metodologia'!$F$4</x:f>
        <x:v>0.14285714285714285</x:v>
      </x:c>
      <x:c r="J81" s="26" t="n">
        <x:f>COUNTIF('04_Presencia_Curriculos'!D81:Q81,"&gt;0")</x:f>
        <x:v>2</x:v>
      </x:c>
      <x:c r="K81" s="32" t="n">
        <x:f>J81/'01_Metodologia'!$F$5</x:f>
        <x:v>0.14285714285714285</x:v>
      </x:c>
      <x:c r="L81" s="26" t="n">
        <x:f>COUNTIF('04_Presencia_Curriculos'!D81:P81,"&gt;0")</x:f>
        <x:v>2</x:v>
      </x:c>
      <x:c r="M81" s="32" t="n">
        <x:f>L81/'01_Metodologia'!$F$6</x:f>
        <x:v>0.15384615384615385</x:v>
      </x:c>
      <x:c r="N81" s="26" t="n">
        <x:f>COUNTIF('04_Presencia_Curriculos'!D81:P81,2)</x:f>
        <x:v>0</x:v>
      </x:c>
      <x:c r="O81" s="32" t="n">
        <x:f>N81/'01_Metodologia'!$F$6</x:f>
        <x:v>0</x:v>
      </x:c>
      <x:c r="P81" s="26" t="n">
        <x:f>COUNTIF('04_Presencia_Curriculos'!D81:P81,1)</x:f>
        <x:v>2</x:v>
      </x:c>
      <x:c r="Q81" s="26" t="n">
        <x:f>COUNTIF('04_Presencia_Curriculos'!R81:X81,"&gt;0")</x:f>
        <x:v>1</x:v>
      </x:c>
      <x:c r="R81" s="32" t="n">
        <x:f>Q81/'01_Metodologia'!$F$7</x:f>
        <x:v>0.14285714285714285</x:v>
      </x:c>
      <x:c r="S81" s="36" t="n">
        <x:v>0</x:v>
      </x:c>
      <x:c r="T81" s="32" t="n">
        <x:f>AVERAGE('05_Peso_Creditos_Core'!D81:O81)</x:f>
        <x:v>0</x:v>
      </x:c>
      <x:c r="U81" s="32" t="n">
        <x:f>MEDIAN('05_Peso_Creditos_Core'!D81:O81)</x:f>
        <x:v>0</x:v>
      </x:c>
      <x:c r="V81" s="34" t="n">
        <x:f>IF(COUNT('06_Posicion_Core'!D81:P81)=0,"",MEDIAN('06_Posicion_Core'!D81:P81))</x:f>
        <x:v>87.5</x:v>
      </x:c>
      <x:c r="W81" s="26" t="str">
        <x:f>IF(V81="","NR",IF(V81&lt;=25,"E1 Fundamentos",IF(V81&lt;=50,"E2 Fundamentos de ingeniería",IF(V81&lt;=75,"E3 Formación profesional","E4 Integración/especialización"))))</x:f>
        <x:v>E4 Integración/especialización</x:v>
      </x:c>
      <x:c r="X81" s="26" t="n">
        <x:f>IF(COUNT('07_Profundidad_Core'!D81:P81)=0,"",MEDIAN('07_Profundidad_Core'!D81:P81))</x:f>
        <x:v>2</x:v>
      </x:c>
      <x:c r="Y81" s="26" t="str">
        <x:f>IF(X81="","NR",IF(X81=INT(X81),"N"&amp;TEXT(X81,"0"),"N"&amp;TEXT(INT(X81),"0")&amp;"–N"&amp;TEXT(INT(X81)+1,"0")))</x:f>
        <x:v>N2</x:v>
      </x:c>
      <x:c r="Z81" s="32" t="n">
        <x:v>0</x:v>
      </x:c>
      <x:c r="AA81" s="32" t="n">
        <x:v>0</x:v>
      </x:c>
      <x:c r="AB81" s="26" t="str">
        <x:f>IF(M81&gt;=0.75,"Universal / núcleo",IF(M81&gt;=0.5,"Consolidada",IF(M81&gt;=0.25,"Selectiva","Baja prevalencia")))</x:f>
        <x:v>Baja prevalencia</x:v>
      </x:c>
      <x:c r="AC81" s="26" t="str">
        <x:v>Sí</x:v>
      </x:c>
      <x:c r="AD81" s="26" t="str">
        <x:f>IF(AND(AC81="Sí",L81&gt;=2,M81&lt;0.5,V81&gt;=45),"Emergente en grado",IF(AND(AC81="Sí",L81&lt;=1,Q81&gt;=2),"Emergente desde nivel avanzado",IF(AND(M81&lt;0.25,L81&gt;=1),"Nicho / especialización","")))</x:f>
        <x:v>Emergente en grado</x:v>
      </x:c>
      <x:c r="AE81" s="26" t="str">
        <x:v>Alta</x:v>
      </x:c>
      <x:c r="AF81" s="26" t="str">
        <x:v>Sostenibilidad, circularidad y energía</x:v>
      </x:c>
      <x:c r="AG81" s="26" t="str">
        <x:f>IF(AND(AB81="Universal / núcleo",AE81="Alta"),"Muy alta",IF(AND(OR(AD81="Emergente en grado",AD81="Emergente desde nivel avanzado"),AE81="Alta"),"Muy alta",IF(OR(AB81="Universal / núcleo",AB81="Consolidada",AE81="Alta"),"Alta",IF(OR(AD81&lt;&gt;"",AE81="Media"),"Media","Baja"))))</x:f>
        <x:v>Muy alta</x:v>
      </x:c>
      <x:c r="AH81" s="26" t="str">
        <x:v>Comparar con la malla EPN Agro antes de decidir mantener/reforzar/integrar/añadir.</x:v>
      </x:c>
    </x:row>
    <x:row r="82">
      <x:c r="A82" s="26" t="str">
        <x:v>A11</x:v>
      </x:c>
      <x:c r="B82" s="26" t="str">
        <x:v>Ambiente, Sostenibilidad, Residuos y Circularidad</x:v>
      </x:c>
      <x:c r="C82" s="26" t="str">
        <x:v>S37</x:v>
      </x:c>
      <x:c r="D82" s="26" t="str">
        <x:v>Residuos</x:v>
      </x:c>
      <x:c r="E82" s="26" t="str">
        <x:v>F1103</x:v>
      </x:c>
      <x:c r="F82" s="26" t="str">
        <x:v>Residuos, subproductos y valorización</x:v>
      </x:c>
      <x:c r="G82" s="26" t="str">
        <x:v>Residuos/coproductos y valorización.</x:v>
      </x:c>
      <x:c r="H82" s="26" t="n">
        <x:f>COUNTIF('04_Presencia_Curriculos'!D82:X82,"&gt;0")</x:f>
        <x:v>7</x:v>
      </x:c>
      <x:c r="I82" s="32" t="n">
        <x:f>H82/'01_Metodologia'!$F$4</x:f>
        <x:v>0.3333333333333333</x:v>
      </x:c>
      <x:c r="J82" s="26" t="n">
        <x:f>COUNTIF('04_Presencia_Curriculos'!D82:Q82,"&gt;0")</x:f>
        <x:v>5</x:v>
      </x:c>
      <x:c r="K82" s="32" t="n">
        <x:f>J82/'01_Metodologia'!$F$5</x:f>
        <x:v>0.35714285714285715</x:v>
      </x:c>
      <x:c r="L82" s="26" t="n">
        <x:f>COUNTIF('04_Presencia_Curriculos'!D82:P82,"&gt;0")</x:f>
        <x:v>4</x:v>
      </x:c>
      <x:c r="M82" s="32" t="n">
        <x:f>L82/'01_Metodologia'!$F$6</x:f>
        <x:v>0.3076923076923077</x:v>
      </x:c>
      <x:c r="N82" s="26" t="n">
        <x:f>COUNTIF('04_Presencia_Curriculos'!D82:P82,2)</x:f>
        <x:v>4</x:v>
      </x:c>
      <x:c r="O82" s="32" t="n">
        <x:f>N82/'01_Metodologia'!$F$6</x:f>
        <x:v>0.3076923076923077</x:v>
      </x:c>
      <x:c r="P82" s="26" t="n">
        <x:f>COUNTIF('04_Presencia_Curriculos'!D82:P82,1)</x:f>
        <x:v>0</x:v>
      </x:c>
      <x:c r="Q82" s="26" t="n">
        <x:f>COUNTIF('04_Presencia_Curriculos'!R82:X82,"&gt;0")</x:f>
        <x:v>2</x:v>
      </x:c>
      <x:c r="R82" s="32" t="n">
        <x:f>Q82/'01_Metodologia'!$F$7</x:f>
        <x:v>0.2857142857142857</x:v>
      </x:c>
      <x:c r="S82" s="36" t="n">
        <x:v>1.6666666666666667</x:v>
      </x:c>
      <x:c r="T82" s="32" t="n">
        <x:f>AVERAGE('05_Peso_Creditos_Core'!D82:O82)</x:f>
        <x:v>0.006944444444444445</x:v>
      </x:c>
      <x:c r="U82" s="32" t="n">
        <x:f>MEDIAN('05_Peso_Creditos_Core'!D82:O82)</x:f>
        <x:v>0</x:v>
      </x:c>
      <x:c r="V82" s="34" t="n">
        <x:f>IF(COUNT('06_Posicion_Core'!D82:P82)=0,"",MEDIAN('06_Posicion_Core'!D82:P82))</x:f>
        <x:v>81.25</x:v>
      </x:c>
      <x:c r="W82" s="26" t="str">
        <x:f>IF(V82="","NR",IF(V82&lt;=25,"E1 Fundamentos",IF(V82&lt;=50,"E2 Fundamentos de ingeniería",IF(V82&lt;=75,"E3 Formación profesional","E4 Integración/especialización"))))</x:f>
        <x:v>E4 Integración/especialización</x:v>
      </x:c>
      <x:c r="X82" s="26" t="n">
        <x:f>IF(COUNT('07_Profundidad_Core'!D82:P82)=0,"",MEDIAN('07_Profundidad_Core'!D82:P82))</x:f>
        <x:v>2</x:v>
      </x:c>
      <x:c r="Y82" s="26" t="str">
        <x:f>IF(X82="","NR",IF(X82=INT(X82),"N"&amp;TEXT(X82,"0"),"N"&amp;TEXT(INT(X82),"0")&amp;"–N"&amp;TEXT(INT(X82)+1,"0")))</x:f>
        <x:v>N2</x:v>
      </x:c>
      <x:c r="Z82" s="32" t="n">
        <x:v>0</x:v>
      </x:c>
      <x:c r="AA82" s="32" t="n">
        <x:v>0</x:v>
      </x:c>
      <x:c r="AB82" s="26" t="str">
        <x:f>IF(M82&gt;=0.75,"Universal / núcleo",IF(M82&gt;=0.5,"Consolidada",IF(M82&gt;=0.25,"Selectiva","Baja prevalencia")))</x:f>
        <x:v>Selectiva</x:v>
      </x:c>
      <x:c r="AC82" s="26" t="str">
        <x:v>Sí</x:v>
      </x:c>
      <x:c r="AD82" s="26" t="str">
        <x:f>IF(AND(AC82="Sí",L82&gt;=2,M82&lt;0.5,V82&gt;=45),"Emergente en grado",IF(AND(AC82="Sí",L82&lt;=1,Q82&gt;=2),"Emergente desde nivel avanzado",IF(AND(M82&lt;0.25,L82&gt;=1),"Nicho / especialización","")))</x:f>
        <x:v>Emergente en grado</x:v>
      </x:c>
      <x:c r="AE82" s="26" t="str">
        <x:v>Alta</x:v>
      </x:c>
      <x:c r="AF82" s="26" t="str">
        <x:v>Sostenibilidad, circularidad y energía</x:v>
      </x:c>
      <x:c r="AG82" s="26" t="str">
        <x:f>IF(AND(AB82="Universal / núcleo",AE82="Alta"),"Muy alta",IF(AND(OR(AD82="Emergente en grado",AD82="Emergente desde nivel avanzado"),AE82="Alta"),"Muy alta",IF(OR(AB82="Universal / núcleo",AB82="Consolidada",AE82="Alta"),"Alta",IF(OR(AD82&lt;&gt;"",AE82="Media"),"Media","Baja"))))</x:f>
        <x:v>Muy alta</x:v>
      </x:c>
      <x:c r="AH82" s="26" t="str">
        <x:v>Comparar con la malla EPN Agro antes de decidir mantener/reforzar/integrar/añadir.</x:v>
      </x:c>
    </x:row>
    <x:row r="83">
      <x:c r="A83" s="26" t="str">
        <x:v>A11</x:v>
      </x:c>
      <x:c r="B83" s="26" t="str">
        <x:v>Ambiente, Sostenibilidad, Residuos y Circularidad</x:v>
      </x:c>
      <x:c r="C83" s="26" t="str">
        <x:v>S37</x:v>
      </x:c>
      <x:c r="D83" s="26" t="str">
        <x:v>Residuos</x:v>
      </x:c>
      <x:c r="E83" s="26" t="str">
        <x:v>F1104</x:v>
      </x:c>
      <x:c r="F83" s="26" t="str">
        <x:v>Tratamiento de aguas y efluentes</x:v>
      </x:c>
      <x:c r="G83" s="26" t="str">
        <x:v>Aguas residuales y efluentes.</x:v>
      </x:c>
      <x:c r="H83" s="26" t="n">
        <x:f>COUNTIF('04_Presencia_Curriculos'!D83:X83,"&gt;0")</x:f>
        <x:v>2</x:v>
      </x:c>
      <x:c r="I83" s="32" t="n">
        <x:f>H83/'01_Metodologia'!$F$4</x:f>
        <x:v>0.09523809523809523</x:v>
      </x:c>
      <x:c r="J83" s="26" t="n">
        <x:f>COUNTIF('04_Presencia_Curriculos'!D83:Q83,"&gt;0")</x:f>
        <x:v>2</x:v>
      </x:c>
      <x:c r="K83" s="32" t="n">
        <x:f>J83/'01_Metodologia'!$F$5</x:f>
        <x:v>0.14285714285714285</x:v>
      </x:c>
      <x:c r="L83" s="26" t="n">
        <x:f>COUNTIF('04_Presencia_Curriculos'!D83:P83,"&gt;0")</x:f>
        <x:v>2</x:v>
      </x:c>
      <x:c r="M83" s="32" t="n">
        <x:f>L83/'01_Metodologia'!$F$6</x:f>
        <x:v>0.15384615384615385</x:v>
      </x:c>
      <x:c r="N83" s="26" t="n">
        <x:f>COUNTIF('04_Presencia_Curriculos'!D83:P83,2)</x:f>
        <x:v>2</x:v>
      </x:c>
      <x:c r="O83" s="32" t="n">
        <x:f>N83/'01_Metodologia'!$F$6</x:f>
        <x:v>0.15384615384615385</x:v>
      </x:c>
      <x:c r="P83" s="26" t="n">
        <x:f>COUNTIF('04_Presencia_Curriculos'!D83:P83,1)</x:f>
        <x:v>0</x:v>
      </x:c>
      <x:c r="Q83" s="26" t="n">
        <x:f>COUNTIF('04_Presencia_Curriculos'!R83:X83,"&gt;0")</x:f>
        <x:v>0</x:v>
      </x:c>
      <x:c r="R83" s="32" t="n">
        <x:f>Q83/'01_Metodologia'!$F$7</x:f>
        <x:v>0</x:v>
      </x:c>
      <x:c r="S83" s="36" t="n">
        <x:v>1</x:v>
      </x:c>
      <x:c r="T83" s="32" t="n">
        <x:f>AVERAGE('05_Peso_Creditos_Core'!D83:O83)</x:f>
        <x:v>0.005555555555555556</x:v>
      </x:c>
      <x:c r="U83" s="32" t="n">
        <x:f>MEDIAN('05_Peso_Creditos_Core'!D83:O83)</x:f>
        <x:v>0</x:v>
      </x:c>
      <x:c r="V83" s="34" t="n">
        <x:f>IF(COUNT('06_Posicion_Core'!D83:P83)=0,"",MEDIAN('06_Posicion_Core'!D83:P83))</x:f>
        <x:v>83.33333333333333</x:v>
      </x:c>
      <x:c r="W83" s="26" t="str">
        <x:f>IF(V83="","NR",IF(V83&lt;=25,"E1 Fundamentos",IF(V83&lt;=50,"E2 Fundamentos de ingeniería",IF(V83&lt;=75,"E3 Formación profesional","E4 Integración/especialización"))))</x:f>
        <x:v>E4 Integración/especialización</x:v>
      </x:c>
      <x:c r="X83" s="26" t="n">
        <x:f>IF(COUNT('07_Profundidad_Core'!D83:P83)=0,"",MEDIAN('07_Profundidad_Core'!D83:P83))</x:f>
        <x:v>2</x:v>
      </x:c>
      <x:c r="Y83" s="26" t="str">
        <x:f>IF(X83="","NR",IF(X83=INT(X83),"N"&amp;TEXT(X83,"0"),"N"&amp;TEXT(INT(X83),"0")&amp;"–N"&amp;TEXT(INT(X83)+1,"0")))</x:f>
        <x:v>N2</x:v>
      </x:c>
      <x:c r="Z83" s="32" t="n">
        <x:v>0</x:v>
      </x:c>
      <x:c r="AA83" s="32" t="n">
        <x:v>0</x:v>
      </x:c>
      <x:c r="AB83" s="26" t="str">
        <x:f>IF(M83&gt;=0.75,"Universal / núcleo",IF(M83&gt;=0.5,"Consolidada",IF(M83&gt;=0.25,"Selectiva","Baja prevalencia")))</x:f>
        <x:v>Baja prevalencia</x:v>
      </x:c>
      <x:c r="AC83" s="26" t="str">
        <x:v>No</x:v>
      </x:c>
      <x:c r="AD83" s="26" t="str">
        <x:f>IF(AND(AC83="Sí",L83&gt;=2,M83&lt;0.5,V83&gt;=45),"Emergente en grado",IF(AND(AC83="Sí",L83&lt;=1,Q83&gt;=2),"Emergente desde nivel avanzado",IF(AND(M83&lt;0.25,L83&gt;=1),"Nicho / especialización","")))</x:f>
        <x:v>Nicho / especialización</x:v>
      </x:c>
      <x:c r="AE83" s="26" t="str"/>
      <x:c r="AF83" s="26" t="str"/>
      <x:c r="AG83" s="26" t="str">
        <x:f>IF(AND(AB83="Universal / núcleo",AE83="Alta"),"Muy alta",IF(AND(OR(AD83="Emergente en grado",AD83="Emergente desde nivel avanzado"),AE83="Alta"),"Muy alta",IF(OR(AB83="Universal / núcleo",AB83="Consolidada",AE83="Alta"),"Alta",IF(OR(AD83&lt;&gt;"",AE83="Media"),"Media","Baja"))))</x:f>
        <x:v>Media</x:v>
      </x:c>
      <x:c r="AH83" s="26" t="str">
        <x:v>Comparar con la malla EPN Agro antes de decidir mantener/reforzar/integrar/añadir.</x:v>
      </x:c>
    </x:row>
    <x:row r="84">
      <x:c r="A84" s="26" t="str">
        <x:v>A11</x:v>
      </x:c>
      <x:c r="B84" s="26" t="str">
        <x:v>Ambiente, Sostenibilidad, Residuos y Circularidad</x:v>
      </x:c>
      <x:c r="C84" s="26" t="str">
        <x:v>S37</x:v>
      </x:c>
      <x:c r="D84" s="26" t="str">
        <x:v>Residuos</x:v>
      </x:c>
      <x:c r="E84" s="26" t="str">
        <x:v>F1105</x:v>
      </x:c>
      <x:c r="F84" s="26" t="str">
        <x:v>Sostenibilidad y economía circular</x:v>
      </x:c>
      <x:c r="G84" s="26" t="str">
        <x:v>Sostenibilidad y circularidad.</x:v>
      </x:c>
      <x:c r="H84" s="26" t="n">
        <x:f>COUNTIF('04_Presencia_Curriculos'!D84:X84,"&gt;0")</x:f>
        <x:v>5</x:v>
      </x:c>
      <x:c r="I84" s="32" t="n">
        <x:f>H84/'01_Metodologia'!$F$4</x:f>
        <x:v>0.23809523809523808</x:v>
      </x:c>
      <x:c r="J84" s="26" t="n">
        <x:f>COUNTIF('04_Presencia_Curriculos'!D84:Q84,"&gt;0")</x:f>
        <x:v>2</x:v>
      </x:c>
      <x:c r="K84" s="32" t="n">
        <x:f>J84/'01_Metodologia'!$F$5</x:f>
        <x:v>0.14285714285714285</x:v>
      </x:c>
      <x:c r="L84" s="26" t="n">
        <x:f>COUNTIF('04_Presencia_Curriculos'!D84:P84,"&gt;0")</x:f>
        <x:v>1</x:v>
      </x:c>
      <x:c r="M84" s="32" t="n">
        <x:f>L84/'01_Metodologia'!$F$6</x:f>
        <x:v>0.07692307692307693</x:v>
      </x:c>
      <x:c r="N84" s="26" t="n">
        <x:f>COUNTIF('04_Presencia_Curriculos'!D84:P84,2)</x:f>
        <x:v>1</x:v>
      </x:c>
      <x:c r="O84" s="32" t="n">
        <x:f>N84/'01_Metodologia'!$F$6</x:f>
        <x:v>0.07692307692307693</x:v>
      </x:c>
      <x:c r="P84" s="26" t="n">
        <x:f>COUNTIF('04_Presencia_Curriculos'!D84:P84,1)</x:f>
        <x:v>0</x:v>
      </x:c>
      <x:c r="Q84" s="26" t="n">
        <x:f>COUNTIF('04_Presencia_Curriculos'!R84:X84,"&gt;0")</x:f>
        <x:v>3</x:v>
      </x:c>
      <x:c r="R84" s="32" t="n">
        <x:f>Q84/'01_Metodologia'!$F$7</x:f>
        <x:v>0.42857142857142855</x:v>
      </x:c>
      <x:c r="S84" s="36" t="n">
        <x:v>0</x:v>
      </x:c>
      <x:c r="T84" s="32" t="n">
        <x:f>AVERAGE('05_Peso_Creditos_Core'!D84:O84)</x:f>
        <x:v>0</x:v>
      </x:c>
      <x:c r="U84" s="32" t="n">
        <x:f>MEDIAN('05_Peso_Creditos_Core'!D84:O84)</x:f>
        <x:v>0</x:v>
      </x:c>
      <x:c r="V84" s="34" t="n">
        <x:f>IF(COUNT('06_Posicion_Core'!D84:P84)=0,"",MEDIAN('06_Posicion_Core'!D84:P84))</x:f>
        <x:v>75</x:v>
      </x:c>
      <x:c r="W84" s="26" t="str">
        <x:f>IF(V84="","NR",IF(V84&lt;=25,"E1 Fundamentos",IF(V84&lt;=50,"E2 Fundamentos de ingeniería",IF(V84&lt;=75,"E3 Formación profesional","E4 Integración/especialización"))))</x:f>
        <x:v>E3 Formación profesional</x:v>
      </x:c>
      <x:c r="X84" s="26" t="n">
        <x:f>IF(COUNT('07_Profundidad_Core'!D84:P84)=0,"",MEDIAN('07_Profundidad_Core'!D84:P84))</x:f>
        <x:v>2</x:v>
      </x:c>
      <x:c r="Y84" s="26" t="str">
        <x:f>IF(X84="","NR",IF(X84=INT(X84),"N"&amp;TEXT(X84,"0"),"N"&amp;TEXT(INT(X84),"0")&amp;"–N"&amp;TEXT(INT(X84)+1,"0")))</x:f>
        <x:v>N2</x:v>
      </x:c>
      <x:c r="Z84" s="32" t="n">
        <x:v>0</x:v>
      </x:c>
      <x:c r="AA84" s="32" t="n">
        <x:v>0</x:v>
      </x:c>
      <x:c r="AB84" s="26" t="str">
        <x:f>IF(M84&gt;=0.75,"Universal / núcleo",IF(M84&gt;=0.5,"Consolidada",IF(M84&gt;=0.25,"Selectiva","Baja prevalencia")))</x:f>
        <x:v>Baja prevalencia</x:v>
      </x:c>
      <x:c r="AC84" s="26" t="str">
        <x:v>Sí</x:v>
      </x:c>
      <x:c r="AD84" s="26" t="str">
        <x:f>IF(AND(AC84="Sí",L84&gt;=2,M84&lt;0.5,V84&gt;=45),"Emergente en grado",IF(AND(AC84="Sí",L84&lt;=1,Q84&gt;=2),"Emergente desde nivel avanzado",IF(AND(M84&lt;0.25,L84&gt;=1),"Nicho / especialización","")))</x:f>
        <x:v>Emergente desde nivel avanzado</x:v>
      </x:c>
      <x:c r="AE84" s="26" t="str">
        <x:v>Alta</x:v>
      </x:c>
      <x:c r="AF84" s="26" t="str">
        <x:v>Sostenibilidad, circularidad y energía</x:v>
      </x:c>
      <x:c r="AG84" s="26" t="str">
        <x:f>IF(AND(AB84="Universal / núcleo",AE84="Alta"),"Muy alta",IF(AND(OR(AD84="Emergente en grado",AD84="Emergente desde nivel avanzado"),AE84="Alta"),"Muy alta",IF(OR(AB84="Universal / núcleo",AB84="Consolidada",AE84="Alta"),"Alta",IF(OR(AD84&lt;&gt;"",AE84="Media"),"Media","Baja"))))</x:f>
        <x:v>Muy alta</x:v>
      </x:c>
      <x:c r="AH84" s="26" t="str">
        <x:v>Comparar con la malla EPN Agro antes de decidir mantener/reforzar/integrar/añadir.</x:v>
      </x:c>
    </x:row>
    <x:row r="85">
      <x:c r="A85" s="26" t="str">
        <x:v>A11</x:v>
      </x:c>
      <x:c r="B85" s="26" t="str">
        <x:v>Ambiente, Sostenibilidad, Residuos y Circularidad</x:v>
      </x:c>
      <x:c r="C85" s="26" t="str">
        <x:v>S38</x:v>
      </x:c>
      <x:c r="D85" s="26" t="str">
        <x:v>Energía sostenible</x:v>
      </x:c>
      <x:c r="E85" s="26" t="str">
        <x:v>F1106</x:v>
      </x:c>
      <x:c r="F85" s="26" t="str">
        <x:v>Bioenergía, biomasa y energía ambiental</x:v>
      </x:c>
      <x:c r="G85" s="26" t="str">
        <x:v>Biomasa/bioenergía con foco ambiental.</x:v>
      </x:c>
      <x:c r="H85" s="26" t="n">
        <x:f>COUNTIF('04_Presencia_Curriculos'!D85:X85,"&gt;0")</x:f>
        <x:v>1</x:v>
      </x:c>
      <x:c r="I85" s="32" t="n">
        <x:f>H85/'01_Metodologia'!$F$4</x:f>
        <x:v>0.047619047619047616</x:v>
      </x:c>
      <x:c r="J85" s="26" t="n">
        <x:f>COUNTIF('04_Presencia_Curriculos'!D85:Q85,"&gt;0")</x:f>
        <x:v>1</x:v>
      </x:c>
      <x:c r="K85" s="32" t="n">
        <x:f>J85/'01_Metodologia'!$F$5</x:f>
        <x:v>0.07142857142857142</x:v>
      </x:c>
      <x:c r="L85" s="26" t="n">
        <x:f>COUNTIF('04_Presencia_Curriculos'!D85:P85,"&gt;0")</x:f>
        <x:v>1</x:v>
      </x:c>
      <x:c r="M85" s="32" t="n">
        <x:f>L85/'01_Metodologia'!$F$6</x:f>
        <x:v>0.07692307692307693</x:v>
      </x:c>
      <x:c r="N85" s="26" t="n">
        <x:f>COUNTIF('04_Presencia_Curriculos'!D85:P85,2)</x:f>
        <x:v>0</x:v>
      </x:c>
      <x:c r="O85" s="32" t="n">
        <x:f>N85/'01_Metodologia'!$F$6</x:f>
        <x:v>0</x:v>
      </x:c>
      <x:c r="P85" s="26" t="n">
        <x:f>COUNTIF('04_Presencia_Curriculos'!D85:P85,1)</x:f>
        <x:v>1</x:v>
      </x:c>
      <x:c r="Q85" s="26" t="n">
        <x:f>COUNTIF('04_Presencia_Curriculos'!R85:X85,"&gt;0")</x:f>
        <x:v>0</x:v>
      </x:c>
      <x:c r="R85" s="32" t="n">
        <x:f>Q85/'01_Metodologia'!$F$7</x:f>
        <x:v>0</x:v>
      </x:c>
      <x:c r="S85" s="36" t="n">
        <x:v>0</x:v>
      </x:c>
      <x:c r="T85" s="32" t="n">
        <x:f>AVERAGE('05_Peso_Creditos_Core'!D85:O85)</x:f>
        <x:v>0</x:v>
      </x:c>
      <x:c r="U85" s="32" t="n">
        <x:f>MEDIAN('05_Peso_Creditos_Core'!D85:O85)</x:f>
        <x:v>0</x:v>
      </x:c>
      <x:c r="V85" s="34" t="n">
        <x:f>IF(COUNT('06_Posicion_Core'!D85:P85)=0,"",MEDIAN('06_Posicion_Core'!D85:P85))</x:f>
        <x:v>25</x:v>
      </x:c>
      <x:c r="W85" s="26" t="str">
        <x:f>IF(V85="","NR",IF(V85&lt;=25,"E1 Fundamentos",IF(V85&lt;=50,"E2 Fundamentos de ingeniería",IF(V85&lt;=75,"E3 Formación profesional","E4 Integración/especialización"))))</x:f>
        <x:v>E1 Fundamentos</x:v>
      </x:c>
      <x:c r="X85" s="26" t="n">
        <x:f>IF(COUNT('07_Profundidad_Core'!D85:P85)=0,"",MEDIAN('07_Profundidad_Core'!D85:P85))</x:f>
        <x:v>2</x:v>
      </x:c>
      <x:c r="Y85" s="26" t="str">
        <x:f>IF(X85="","NR",IF(X85=INT(X85),"N"&amp;TEXT(X85,"0"),"N"&amp;TEXT(INT(X85),"0")&amp;"–N"&amp;TEXT(INT(X85)+1,"0")))</x:f>
        <x:v>N2</x:v>
      </x:c>
      <x:c r="Z85" s="32" t="n">
        <x:v>0</x:v>
      </x:c>
      <x:c r="AA85" s="32" t="n">
        <x:v>0</x:v>
      </x:c>
      <x:c r="AB85" s="26" t="str">
        <x:f>IF(M85&gt;=0.75,"Universal / núcleo",IF(M85&gt;=0.5,"Consolidada",IF(M85&gt;=0.25,"Selectiva","Baja prevalencia")))</x:f>
        <x:v>Baja prevalencia</x:v>
      </x:c>
      <x:c r="AC85" s="26" t="str">
        <x:v>Sí</x:v>
      </x:c>
      <x:c r="AD85" s="26" t="str">
        <x:f>IF(AND(AC85="Sí",L85&gt;=2,M85&lt;0.5,V85&gt;=45),"Emergente en grado",IF(AND(AC85="Sí",L85&lt;=1,Q85&gt;=2),"Emergente desde nivel avanzado",IF(AND(M85&lt;0.25,L85&gt;=1),"Nicho / especialización","")))</x:f>
        <x:v>Nicho / especialización</x:v>
      </x:c>
      <x:c r="AE85" s="26" t="str">
        <x:v>Alta</x:v>
      </x:c>
      <x:c r="AF85" s="26" t="str">
        <x:v>Sostenibilidad, circularidad y energía</x:v>
      </x:c>
      <x:c r="AG85" s="26" t="str">
        <x:f>IF(AND(AB85="Universal / núcleo",AE85="Alta"),"Muy alta",IF(AND(OR(AD85="Emergente en grado",AD85="Emergente desde nivel avanzado"),AE85="Alta"),"Muy alta",IF(OR(AB85="Universal / núcleo",AB85="Consolidada",AE85="Alta"),"Alta",IF(OR(AD85&lt;&gt;"",AE85="Media"),"Media","Baja"))))</x:f>
        <x:v>Alta</x:v>
      </x:c>
      <x:c r="AH85" s="26" t="str">
        <x:v>Comparar con la malla EPN Agro antes de decidir mantener/reforzar/integrar/añadir.</x:v>
      </x:c>
    </x:row>
    <x:row r="86">
      <x:c r="A86" s="26" t="str">
        <x:v>A12</x:v>
      </x:c>
      <x:c r="B86" s="26" t="str">
        <x:v>Economía, Gestión, Marketing y Cadena de Suministro</x:v>
      </x:c>
      <x:c r="C86" s="26" t="str">
        <x:v>S39</x:v>
      </x:c>
      <x:c r="D86" s="26" t="str">
        <x:v>Economía</x:v>
      </x:c>
      <x:c r="E86" s="26" t="str">
        <x:v>F1201</x:v>
      </x:c>
      <x:c r="F86" s="26" t="str">
        <x:v>Economía y sistemas agroalimentarios</x:v>
      </x:c>
      <x:c r="G86" s="26" t="str">
        <x:v>Economía general/agroalimentaria.</x:v>
      </x:c>
      <x:c r="H86" s="26" t="n">
        <x:f>COUNTIF('04_Presencia_Curriculos'!D86:X86,"&gt;0")</x:f>
        <x:v>12</x:v>
      </x:c>
      <x:c r="I86" s="32" t="n">
        <x:f>H86/'01_Metodologia'!$F$4</x:f>
        <x:v>0.5714285714285714</x:v>
      </x:c>
      <x:c r="J86" s="26" t="n">
        <x:f>COUNTIF('04_Presencia_Curriculos'!D86:Q86,"&gt;0")</x:f>
        <x:v>9</x:v>
      </x:c>
      <x:c r="K86" s="32" t="n">
        <x:f>J86/'01_Metodologia'!$F$5</x:f>
        <x:v>0.6428571428571429</x:v>
      </x:c>
      <x:c r="L86" s="26" t="n">
        <x:f>COUNTIF('04_Presencia_Curriculos'!D86:P86,"&gt;0")</x:f>
        <x:v>8</x:v>
      </x:c>
      <x:c r="M86" s="32" t="n">
        <x:f>L86/'01_Metodologia'!$F$6</x:f>
        <x:v>0.6153846153846154</x:v>
      </x:c>
      <x:c r="N86" s="26" t="n">
        <x:f>COUNTIF('04_Presencia_Curriculos'!D86:P86,2)</x:f>
        <x:v>8</x:v>
      </x:c>
      <x:c r="O86" s="32" t="n">
        <x:f>N86/'01_Metodologia'!$F$6</x:f>
        <x:v>0.6153846153846154</x:v>
      </x:c>
      <x:c r="P86" s="26" t="n">
        <x:f>COUNTIF('04_Presencia_Curriculos'!D86:P86,1)</x:f>
        <x:v>0</x:v>
      </x:c>
      <x:c r="Q86" s="26" t="n">
        <x:f>COUNTIF('04_Presencia_Curriculos'!R86:X86,"&gt;0")</x:f>
        <x:v>3</x:v>
      </x:c>
      <x:c r="R86" s="32" t="n">
        <x:f>Q86/'01_Metodologia'!$F$7</x:f>
        <x:v>0.42857142857142855</x:v>
      </x:c>
      <x:c r="S86" s="36" t="n">
        <x:v>4.333333333333333</x:v>
      </x:c>
      <x:c r="T86" s="32" t="n">
        <x:f>AVERAGE('05_Peso_Creditos_Core'!D86:O86)</x:f>
        <x:v>0.02164351851851852</x:v>
      </x:c>
      <x:c r="U86" s="32" t="n">
        <x:f>MEDIAN('05_Peso_Creditos_Core'!D86:O86)</x:f>
        <x:v>0.020833333333333336</x:v>
      </x:c>
      <x:c r="V86" s="34" t="n">
        <x:f>IF(COUNT('06_Posicion_Core'!D86:P86)=0,"",MEDIAN('06_Posicion_Core'!D86:P86))</x:f>
        <x:v>28.125</x:v>
      </x:c>
      <x:c r="W86" s="26" t="str">
        <x:f>IF(V86="","NR",IF(V86&lt;=25,"E1 Fundamentos",IF(V86&lt;=50,"E2 Fundamentos de ingeniería",IF(V86&lt;=75,"E3 Formación profesional","E4 Integración/especialización"))))</x:f>
        <x:v>E2 Fundamentos de ingeniería</x:v>
      </x:c>
      <x:c r="X86" s="26" t="n">
        <x:f>IF(COUNT('07_Profundidad_Core'!D86:P86)=0,"",MEDIAN('07_Profundidad_Core'!D86:P86))</x:f>
        <x:v>2</x:v>
      </x:c>
      <x:c r="Y86" s="26" t="str">
        <x:f>IF(X86="","NR",IF(X86=INT(X86),"N"&amp;TEXT(X86,"0"),"N"&amp;TEXT(INT(X86),"0")&amp;"–N"&amp;TEXT(INT(X86)+1,"0")))</x:f>
        <x:v>N2</x:v>
      </x:c>
      <x:c r="Z86" s="32" t="n">
        <x:v>0</x:v>
      </x:c>
      <x:c r="AA86" s="32" t="n">
        <x:v>0</x:v>
      </x:c>
      <x:c r="AB86" s="26" t="str">
        <x:f>IF(M86&gt;=0.75,"Universal / núcleo",IF(M86&gt;=0.5,"Consolidada",IF(M86&gt;=0.25,"Selectiva","Baja prevalencia")))</x:f>
        <x:v>Consolidada</x:v>
      </x:c>
      <x:c r="AC86" s="26" t="str">
        <x:v>No</x:v>
      </x:c>
      <x:c r="AD86" s="26" t="str">
        <x:f>IF(AND(AC86="Sí",L86&gt;=2,M86&lt;0.5,V86&gt;=45),"Emergente en grado",IF(AND(AC86="Sí",L86&lt;=1,Q86&gt;=2),"Emergente desde nivel avanzado",IF(AND(M86&lt;0.25,L86&gt;=1),"Nicho / especialización","")))</x:f>
      </x:c>
      <x:c r="AE86" s="26" t="str"/>
      <x:c r="AF86" s="26" t="str"/>
      <x:c r="AG86" s="26" t="str">
        <x:f>IF(AND(AB86="Universal / núcleo",AE86="Alta"),"Muy alta",IF(AND(OR(AD86="Emergente en grado",AD86="Emergente desde nivel avanzado"),AE86="Alta"),"Muy alta",IF(OR(AB86="Universal / núcleo",AB86="Consolidada",AE86="Alta"),"Alta",IF(OR(AD86&lt;&gt;"",AE86="Media"),"Media","Baja"))))</x:f>
        <x:v>Alta</x:v>
      </x:c>
      <x:c r="AH86" s="26" t="str">
        <x:v>Comparar con la malla EPN Agro antes de decidir mantener/reforzar/integrar/añadir.</x:v>
      </x:c>
    </x:row>
    <x:row r="87">
      <x:c r="A87" s="26" t="str">
        <x:v>A12</x:v>
      </x:c>
      <x:c r="B87" s="26" t="str">
        <x:v>Economía, Gestión, Marketing y Cadena de Suministro</x:v>
      </x:c>
      <x:c r="C87" s="26" t="str">
        <x:v>S39</x:v>
      </x:c>
      <x:c r="D87" s="26" t="str">
        <x:v>Empresa</x:v>
      </x:c>
      <x:c r="E87" s="26" t="str">
        <x:v>F1202</x:v>
      </x:c>
      <x:c r="F87" s="26" t="str">
        <x:v>Administración y gestión empresarial</x:v>
      </x:c>
      <x:c r="G87" s="26" t="str">
        <x:v>Administración y gestión de empresa.</x:v>
      </x:c>
      <x:c r="H87" s="26" t="n">
        <x:f>COUNTIF('04_Presencia_Curriculos'!D87:X87,"&gt;0")</x:f>
        <x:v>11</x:v>
      </x:c>
      <x:c r="I87" s="32" t="n">
        <x:f>H87/'01_Metodologia'!$F$4</x:f>
        <x:v>0.5238095238095238</x:v>
      </x:c>
      <x:c r="J87" s="26" t="n">
        <x:f>COUNTIF('04_Presencia_Curriculos'!D87:Q87,"&gt;0")</x:f>
        <x:v>8</x:v>
      </x:c>
      <x:c r="K87" s="32" t="n">
        <x:f>J87/'01_Metodologia'!$F$5</x:f>
        <x:v>0.5714285714285714</x:v>
      </x:c>
      <x:c r="L87" s="26" t="n">
        <x:f>COUNTIF('04_Presencia_Curriculos'!D87:P87,"&gt;0")</x:f>
        <x:v>7</x:v>
      </x:c>
      <x:c r="M87" s="32" t="n">
        <x:f>L87/'01_Metodologia'!$F$6</x:f>
        <x:v>0.5384615384615384</x:v>
      </x:c>
      <x:c r="N87" s="26" t="n">
        <x:f>COUNTIF('04_Presencia_Curriculos'!D87:P87,2)</x:f>
        <x:v>7</x:v>
      </x:c>
      <x:c r="O87" s="32" t="n">
        <x:f>N87/'01_Metodologia'!$F$6</x:f>
        <x:v>0.5384615384615384</x:v>
      </x:c>
      <x:c r="P87" s="26" t="n">
        <x:f>COUNTIF('04_Presencia_Curriculos'!D87:P87,1)</x:f>
        <x:v>0</x:v>
      </x:c>
      <x:c r="Q87" s="26" t="n">
        <x:f>COUNTIF('04_Presencia_Curriculos'!R87:X87,"&gt;0")</x:f>
        <x:v>3</x:v>
      </x:c>
      <x:c r="R87" s="32" t="n">
        <x:f>Q87/'01_Metodologia'!$F$7</x:f>
        <x:v>0.42857142857142855</x:v>
      </x:c>
      <x:c r="S87" s="36" t="n">
        <x:v>3.5833333333333335</x:v>
      </x:c>
      <x:c r="T87" s="32" t="n">
        <x:f>AVERAGE('05_Peso_Creditos_Core'!D87:O87)</x:f>
        <x:v>0.017824074074074076</x:v>
      </x:c>
      <x:c r="U87" s="32" t="n">
        <x:f>MEDIAN('05_Peso_Creditos_Core'!D87:O87)</x:f>
        <x:v>0.008333333333333333</x:v>
      </x:c>
      <x:c r="V87" s="34" t="n">
        <x:f>IF(COUNT('06_Posicion_Core'!D87:P87)=0,"",MEDIAN('06_Posicion_Core'!D87:P87))</x:f>
        <x:v>58.333333333333336</x:v>
      </x:c>
      <x:c r="W87" s="26" t="str">
        <x:f>IF(V87="","NR",IF(V87&lt;=25,"E1 Fundamentos",IF(V87&lt;=50,"E2 Fundamentos de ingeniería",IF(V87&lt;=75,"E3 Formación profesional","E4 Integración/especialización"))))</x:f>
        <x:v>E3 Formación profesional</x:v>
      </x:c>
      <x:c r="X87" s="26" t="n">
        <x:f>IF(COUNT('07_Profundidad_Core'!D87:P87)=0,"",MEDIAN('07_Profundidad_Core'!D87:P87))</x:f>
        <x:v>2</x:v>
      </x:c>
      <x:c r="Y87" s="26" t="str">
        <x:f>IF(X87="","NR",IF(X87=INT(X87),"N"&amp;TEXT(X87,"0"),"N"&amp;TEXT(INT(X87),"0")&amp;"–N"&amp;TEXT(INT(X87)+1,"0")))</x:f>
        <x:v>N2</x:v>
      </x:c>
      <x:c r="Z87" s="32" t="n">
        <x:v>0</x:v>
      </x:c>
      <x:c r="AA87" s="32" t="n">
        <x:v>0</x:v>
      </x:c>
      <x:c r="AB87" s="26" t="str">
        <x:f>IF(M87&gt;=0.75,"Universal / núcleo",IF(M87&gt;=0.5,"Consolidada",IF(M87&gt;=0.25,"Selectiva","Baja prevalencia")))</x:f>
        <x:v>Consolidada</x:v>
      </x:c>
      <x:c r="AC87" s="26" t="str">
        <x:v>No</x:v>
      </x:c>
      <x:c r="AD87" s="26" t="str">
        <x:f>IF(AND(AC87="Sí",L87&gt;=2,M87&lt;0.5,V87&gt;=45),"Emergente en grado",IF(AND(AC87="Sí",L87&lt;=1,Q87&gt;=2),"Emergente desde nivel avanzado",IF(AND(M87&lt;0.25,L87&gt;=1),"Nicho / especialización","")))</x:f>
      </x:c>
      <x:c r="AE87" s="26" t="str">
        <x:v>Media</x:v>
      </x:c>
      <x:c r="AF87" s="26" t="str">
        <x:v>Marketing, gestión y emprendimiento</x:v>
      </x:c>
      <x:c r="AG87" s="26" t="str">
        <x:f>IF(AND(AB87="Universal / núcleo",AE87="Alta"),"Muy alta",IF(AND(OR(AD87="Emergente en grado",AD87="Emergente desde nivel avanzado"),AE87="Alta"),"Muy alta",IF(OR(AB87="Universal / núcleo",AB87="Consolidada",AE87="Alta"),"Alta",IF(OR(AD87&lt;&gt;"",AE87="Media"),"Media","Baja"))))</x:f>
        <x:v>Alta</x:v>
      </x:c>
      <x:c r="AH87" s="26" t="str">
        <x:v>Comparar con la malla EPN Agro antes de decidir mantener/reforzar/integrar/añadir.</x:v>
      </x:c>
    </x:row>
    <x:row r="88">
      <x:c r="A88" s="26" t="str">
        <x:v>A12</x:v>
      </x:c>
      <x:c r="B88" s="26" t="str">
        <x:v>Economía, Gestión, Marketing y Cadena de Suministro</x:v>
      </x:c>
      <x:c r="C88" s="26" t="str">
        <x:v>S39</x:v>
      </x:c>
      <x:c r="D88" s="26" t="str">
        <x:v>Empresa</x:v>
      </x:c>
      <x:c r="E88" s="26" t="str">
        <x:v>F1203</x:v>
      </x:c>
      <x:c r="F88" s="26" t="str">
        <x:v>Costos, valoración y finanzas</x:v>
      </x:c>
      <x:c r="G88" s="26" t="str">
        <x:v>Costos, valoración y finanzas.</x:v>
      </x:c>
      <x:c r="H88" s="26" t="n">
        <x:f>COUNTIF('04_Presencia_Curriculos'!D88:X88,"&gt;0")</x:f>
        <x:v>3</x:v>
      </x:c>
      <x:c r="I88" s="32" t="n">
        <x:f>H88/'01_Metodologia'!$F$4</x:f>
        <x:v>0.14285714285714285</x:v>
      </x:c>
      <x:c r="J88" s="26" t="n">
        <x:f>COUNTIF('04_Presencia_Curriculos'!D88:Q88,"&gt;0")</x:f>
        <x:v>3</x:v>
      </x:c>
      <x:c r="K88" s="32" t="n">
        <x:f>J88/'01_Metodologia'!$F$5</x:f>
        <x:v>0.21428571428571427</x:v>
      </x:c>
      <x:c r="L88" s="26" t="n">
        <x:f>COUNTIF('04_Presencia_Curriculos'!D88:P88,"&gt;0")</x:f>
        <x:v>3</x:v>
      </x:c>
      <x:c r="M88" s="32" t="n">
        <x:f>L88/'01_Metodologia'!$F$6</x:f>
        <x:v>0.23076923076923078</x:v>
      </x:c>
      <x:c r="N88" s="26" t="n">
        <x:f>COUNTIF('04_Presencia_Curriculos'!D88:P88,2)</x:f>
        <x:v>3</x:v>
      </x:c>
      <x:c r="O88" s="32" t="n">
        <x:f>N88/'01_Metodologia'!$F$6</x:f>
        <x:v>0.23076923076923078</x:v>
      </x:c>
      <x:c r="P88" s="26" t="n">
        <x:f>COUNTIF('04_Presencia_Curriculos'!D88:P88,1)</x:f>
        <x:v>0</x:v>
      </x:c>
      <x:c r="Q88" s="26" t="n">
        <x:f>COUNTIF('04_Presencia_Curriculos'!R88:X88,"&gt;0")</x:f>
        <x:v>0</x:v>
      </x:c>
      <x:c r="R88" s="32" t="n">
        <x:f>Q88/'01_Metodologia'!$F$7</x:f>
        <x:v>0</x:v>
      </x:c>
      <x:c r="S88" s="36" t="n">
        <x:v>0.8333333333333334</x:v>
      </x:c>
      <x:c r="T88" s="32" t="n">
        <x:f>AVERAGE('05_Peso_Creditos_Core'!D88:O88)</x:f>
        <x:v>0.0034722222222222225</x:v>
      </x:c>
      <x:c r="U88" s="32" t="n">
        <x:f>MEDIAN('05_Peso_Creditos_Core'!D88:O88)</x:f>
        <x:v>0</x:v>
      </x:c>
      <x:c r="V88" s="34" t="n">
        <x:f>IF(COUNT('06_Posicion_Core'!D88:P88)=0,"",MEDIAN('06_Posicion_Core'!D88:P88))</x:f>
        <x:v>43.75</x:v>
      </x:c>
      <x:c r="W88" s="26" t="str">
        <x:f>IF(V88="","NR",IF(V88&lt;=25,"E1 Fundamentos",IF(V88&lt;=50,"E2 Fundamentos de ingeniería",IF(V88&lt;=75,"E3 Formación profesional","E4 Integración/especialización"))))</x:f>
        <x:v>E2 Fundamentos de ingeniería</x:v>
      </x:c>
      <x:c r="X88" s="26" t="n">
        <x:f>IF(COUNT('07_Profundidad_Core'!D88:P88)=0,"",MEDIAN('07_Profundidad_Core'!D88:P88))</x:f>
        <x:v>2</x:v>
      </x:c>
      <x:c r="Y88" s="26" t="str">
        <x:f>IF(X88="","NR",IF(X88=INT(X88),"N"&amp;TEXT(X88,"0"),"N"&amp;TEXT(INT(X88),"0")&amp;"–N"&amp;TEXT(INT(X88)+1,"0")))</x:f>
        <x:v>N2</x:v>
      </x:c>
      <x:c r="Z88" s="32" t="n">
        <x:v>0</x:v>
      </x:c>
      <x:c r="AA88" s="32" t="n">
        <x:v>0</x:v>
      </x:c>
      <x:c r="AB88" s="26" t="str">
        <x:f>IF(M88&gt;=0.75,"Universal / núcleo",IF(M88&gt;=0.5,"Consolidada",IF(M88&gt;=0.25,"Selectiva","Baja prevalencia")))</x:f>
        <x:v>Baja prevalencia</x:v>
      </x:c>
      <x:c r="AC88" s="26" t="str">
        <x:v>No</x:v>
      </x:c>
      <x:c r="AD88" s="26" t="str">
        <x:f>IF(AND(AC88="Sí",L88&gt;=2,M88&lt;0.5,V88&gt;=45),"Emergente en grado",IF(AND(AC88="Sí",L88&lt;=1,Q88&gt;=2),"Emergente desde nivel avanzado",IF(AND(M88&lt;0.25,L88&gt;=1),"Nicho / especialización","")))</x:f>
        <x:v>Nicho / especialización</x:v>
      </x:c>
      <x:c r="AE88" s="26" t="str"/>
      <x:c r="AF88" s="26" t="str"/>
      <x:c r="AG88" s="26" t="str">
        <x:f>IF(AND(AB88="Universal / núcleo",AE88="Alta"),"Muy alta",IF(AND(OR(AD88="Emergente en grado",AD88="Emergente desde nivel avanzado"),AE88="Alta"),"Muy alta",IF(OR(AB88="Universal / núcleo",AB88="Consolidada",AE88="Alta"),"Alta",IF(OR(AD88&lt;&gt;"",AE88="Media"),"Media","Baja"))))</x:f>
        <x:v>Media</x:v>
      </x:c>
      <x:c r="AH88" s="26" t="str">
        <x:v>Comparar con la malla EPN Agro antes de decidir mantener/reforzar/integrar/añadir.</x:v>
      </x:c>
    </x:row>
    <x:row r="89">
      <x:c r="A89" s="26" t="str">
        <x:v>A12</x:v>
      </x:c>
      <x:c r="B89" s="26" t="str">
        <x:v>Economía, Gestión, Marketing y Cadena de Suministro</x:v>
      </x:c>
      <x:c r="C89" s="26" t="str">
        <x:v>S40</x:v>
      </x:c>
      <x:c r="D89" s="26" t="str">
        <x:v>Mercado</x:v>
      </x:c>
      <x:c r="E89" s="26" t="str">
        <x:v>F1204</x:v>
      </x:c>
      <x:c r="F89" s="26" t="str">
        <x:v>Marketing y comercialización</x:v>
      </x:c>
      <x:c r="G89" s="26" t="str">
        <x:v>Marketing, ventas y comercialización.</x:v>
      </x:c>
      <x:c r="H89" s="26" t="n">
        <x:f>COUNTIF('04_Presencia_Curriculos'!D89:X89,"&gt;0")</x:f>
        <x:v>9</x:v>
      </x:c>
      <x:c r="I89" s="32" t="n">
        <x:f>H89/'01_Metodologia'!$F$4</x:f>
        <x:v>0.42857142857142855</x:v>
      </x:c>
      <x:c r="J89" s="26" t="n">
        <x:f>COUNTIF('04_Presencia_Curriculos'!D89:Q89,"&gt;0")</x:f>
        <x:v>5</x:v>
      </x:c>
      <x:c r="K89" s="32" t="n">
        <x:f>J89/'01_Metodologia'!$F$5</x:f>
        <x:v>0.35714285714285715</x:v>
      </x:c>
      <x:c r="L89" s="26" t="n">
        <x:f>COUNTIF('04_Presencia_Curriculos'!D89:P89,"&gt;0")</x:f>
        <x:v>4</x:v>
      </x:c>
      <x:c r="M89" s="32" t="n">
        <x:f>L89/'01_Metodologia'!$F$6</x:f>
        <x:v>0.3076923076923077</x:v>
      </x:c>
      <x:c r="N89" s="26" t="n">
        <x:f>COUNTIF('04_Presencia_Curriculos'!D89:P89,2)</x:f>
        <x:v>3</x:v>
      </x:c>
      <x:c r="O89" s="32" t="n">
        <x:f>N89/'01_Metodologia'!$F$6</x:f>
        <x:v>0.23076923076923078</x:v>
      </x:c>
      <x:c r="P89" s="26" t="n">
        <x:f>COUNTIF('04_Presencia_Curriculos'!D89:P89,1)</x:f>
        <x:v>1</x:v>
      </x:c>
      <x:c r="Q89" s="26" t="n">
        <x:f>COUNTIF('04_Presencia_Curriculos'!R89:X89,"&gt;0")</x:f>
        <x:v>4</x:v>
      </x:c>
      <x:c r="R89" s="32" t="n">
        <x:f>Q89/'01_Metodologia'!$F$7</x:f>
        <x:v>0.5714285714285714</x:v>
      </x:c>
      <x:c r="S89" s="36" t="n">
        <x:v>0.6666666666666666</x:v>
      </x:c>
      <x:c r="T89" s="32" t="n">
        <x:f>AVERAGE('05_Peso_Creditos_Core'!D89:O89)</x:f>
        <x:v>0.002777777777777778</x:v>
      </x:c>
      <x:c r="U89" s="32" t="n">
        <x:f>MEDIAN('05_Peso_Creditos_Core'!D89:O89)</x:f>
        <x:v>0</x:v>
      </x:c>
      <x:c r="V89" s="34" t="n">
        <x:f>IF(COUNT('06_Posicion_Core'!D89:P89)=0,"",MEDIAN('06_Posicion_Core'!D89:P89))</x:f>
        <x:v>68.75</x:v>
      </x:c>
      <x:c r="W89" s="26" t="str">
        <x:f>IF(V89="","NR",IF(V89&lt;=25,"E1 Fundamentos",IF(V89&lt;=50,"E2 Fundamentos de ingeniería",IF(V89&lt;=75,"E3 Formación profesional","E4 Integración/especialización"))))</x:f>
        <x:v>E3 Formación profesional</x:v>
      </x:c>
      <x:c r="X89" s="26" t="n">
        <x:f>IF(COUNT('07_Profundidad_Core'!D89:P89)=0,"",MEDIAN('07_Profundidad_Core'!D89:P89))</x:f>
        <x:v>2</x:v>
      </x:c>
      <x:c r="Y89" s="26" t="str">
        <x:f>IF(X89="","NR",IF(X89=INT(X89),"N"&amp;TEXT(X89,"0"),"N"&amp;TEXT(INT(X89),"0")&amp;"–N"&amp;TEXT(INT(X89)+1,"0")))</x:f>
        <x:v>N2</x:v>
      </x:c>
      <x:c r="Z89" s="32" t="n">
        <x:v>0</x:v>
      </x:c>
      <x:c r="AA89" s="32" t="n">
        <x:v>0</x:v>
      </x:c>
      <x:c r="AB89" s="26" t="str">
        <x:f>IF(M89&gt;=0.75,"Universal / núcleo",IF(M89&gt;=0.5,"Consolidada",IF(M89&gt;=0.25,"Selectiva","Baja prevalencia")))</x:f>
        <x:v>Selectiva</x:v>
      </x:c>
      <x:c r="AC89" s="26" t="str">
        <x:v>No</x:v>
      </x:c>
      <x:c r="AD89" s="26" t="str">
        <x:f>IF(AND(AC89="Sí",L89&gt;=2,M89&lt;0.5,V89&gt;=45),"Emergente en grado",IF(AND(AC89="Sí",L89&lt;=1,Q89&gt;=2),"Emergente desde nivel avanzado",IF(AND(M89&lt;0.25,L89&gt;=1),"Nicho / especialización","")))</x:f>
      </x:c>
      <x:c r="AE89" s="26" t="str">
        <x:v>Media</x:v>
      </x:c>
      <x:c r="AF89" s="26" t="str">
        <x:v>Marketing, gestión y emprendimiento</x:v>
      </x:c>
      <x:c r="AG89" s="26" t="str">
        <x:f>IF(AND(AB89="Universal / núcleo",AE89="Alta"),"Muy alta",IF(AND(OR(AD89="Emergente en grado",AD89="Emergente desde nivel avanzado"),AE89="Alta"),"Muy alta",IF(OR(AB89="Universal / núcleo",AB89="Consolidada",AE89="Alta"),"Alta",IF(OR(AD89&lt;&gt;"",AE89="Media"),"Media","Baja"))))</x:f>
        <x:v>Media</x:v>
      </x:c>
      <x:c r="AH89" s="26" t="str">
        <x:v>Comparar con la malla EPN Agro antes de decidir mantener/reforzar/integrar/añadir.</x:v>
      </x:c>
    </x:row>
    <x:row r="90">
      <x:c r="A90" s="26" t="str">
        <x:v>A12</x:v>
      </x:c>
      <x:c r="B90" s="26" t="str">
        <x:v>Economía, Gestión, Marketing y Cadena de Suministro</x:v>
      </x:c>
      <x:c r="C90" s="26" t="str">
        <x:v>S41</x:v>
      </x:c>
      <x:c r="D90" s="26" t="str">
        <x:v>Cadena de suministro</x:v>
      </x:c>
      <x:c r="E90" s="26" t="str">
        <x:v>F1205</x:v>
      </x:c>
      <x:c r="F90" s="26" t="str">
        <x:v>Logística y supply chain</x:v>
      </x:c>
      <x:c r="G90" s="26" t="str">
        <x:v>Logística, inventarios y supply chain.</x:v>
      </x:c>
      <x:c r="H90" s="26" t="n">
        <x:f>COUNTIF('04_Presencia_Curriculos'!D90:X90,"&gt;0")</x:f>
        <x:v>2</x:v>
      </x:c>
      <x:c r="I90" s="32" t="n">
        <x:f>H90/'01_Metodologia'!$F$4</x:f>
        <x:v>0.09523809523809523</x:v>
      </x:c>
      <x:c r="J90" s="26" t="n">
        <x:f>COUNTIF('04_Presencia_Curriculos'!D90:Q90,"&gt;0")</x:f>
        <x:v>1</x:v>
      </x:c>
      <x:c r="K90" s="32" t="n">
        <x:f>J90/'01_Metodologia'!$F$5</x:f>
        <x:v>0.07142857142857142</x:v>
      </x:c>
      <x:c r="L90" s="26" t="n">
        <x:f>COUNTIF('04_Presencia_Curriculos'!D90:P90,"&gt;0")</x:f>
        <x:v>1</x:v>
      </x:c>
      <x:c r="M90" s="32" t="n">
        <x:f>L90/'01_Metodologia'!$F$6</x:f>
        <x:v>0.07692307692307693</x:v>
      </x:c>
      <x:c r="N90" s="26" t="n">
        <x:f>COUNTIF('04_Presencia_Curriculos'!D90:P90,2)</x:f>
        <x:v>0</x:v>
      </x:c>
      <x:c r="O90" s="32" t="n">
        <x:f>N90/'01_Metodologia'!$F$6</x:f>
        <x:v>0</x:v>
      </x:c>
      <x:c r="P90" s="26" t="n">
        <x:f>COUNTIF('04_Presencia_Curriculos'!D90:P90,1)</x:f>
        <x:v>1</x:v>
      </x:c>
      <x:c r="Q90" s="26" t="n">
        <x:f>COUNTIF('04_Presencia_Curriculos'!R90:X90,"&gt;0")</x:f>
        <x:v>1</x:v>
      </x:c>
      <x:c r="R90" s="32" t="n">
        <x:f>Q90/'01_Metodologia'!$F$7</x:f>
        <x:v>0.14285714285714285</x:v>
      </x:c>
      <x:c r="S90" s="36" t="n">
        <x:v>0</x:v>
      </x:c>
      <x:c r="T90" s="32" t="n">
        <x:f>AVERAGE('05_Peso_Creditos_Core'!D90:O90)</x:f>
        <x:v>0</x:v>
      </x:c>
      <x:c r="U90" s="32" t="n">
        <x:f>MEDIAN('05_Peso_Creditos_Core'!D90:O90)</x:f>
        <x:v>0</x:v>
      </x:c>
      <x:c r="V90" s="34" t="n">
        <x:f>IF(COUNT('06_Posicion_Core'!D90:P90)=0,"",MEDIAN('06_Posicion_Core'!D90:P90))</x:f>
        <x:v>93.75</x:v>
      </x:c>
      <x:c r="W90" s="26" t="str">
        <x:f>IF(V90="","NR",IF(V90&lt;=25,"E1 Fundamentos",IF(V90&lt;=50,"E2 Fundamentos de ingeniería",IF(V90&lt;=75,"E3 Formación profesional","E4 Integración/especialización"))))</x:f>
        <x:v>E4 Integración/especialización</x:v>
      </x:c>
      <x:c r="X90" s="26" t="n">
        <x:f>IF(COUNT('07_Profundidad_Core'!D90:P90)=0,"",MEDIAN('07_Profundidad_Core'!D90:P90))</x:f>
        <x:v>2</x:v>
      </x:c>
      <x:c r="Y90" s="26" t="str">
        <x:f>IF(X90="","NR",IF(X90=INT(X90),"N"&amp;TEXT(X90,"0"),"N"&amp;TEXT(INT(X90),"0")&amp;"–N"&amp;TEXT(INT(X90)+1,"0")))</x:f>
        <x:v>N2</x:v>
      </x:c>
      <x:c r="Z90" s="32" t="n">
        <x:v>0</x:v>
      </x:c>
      <x:c r="AA90" s="32" t="n">
        <x:v>0</x:v>
      </x:c>
      <x:c r="AB90" s="26" t="str">
        <x:f>IF(M90&gt;=0.75,"Universal / núcleo",IF(M90&gt;=0.5,"Consolidada",IF(M90&gt;=0.25,"Selectiva","Baja prevalencia")))</x:f>
        <x:v>Baja prevalencia</x:v>
      </x:c>
      <x:c r="AC90" s="26" t="str">
        <x:v>No</x:v>
      </x:c>
      <x:c r="AD90" s="26" t="str">
        <x:f>IF(AND(AC90="Sí",L90&gt;=2,M90&lt;0.5,V90&gt;=45),"Emergente en grado",IF(AND(AC90="Sí",L90&lt;=1,Q90&gt;=2),"Emergente desde nivel avanzado",IF(AND(M90&lt;0.25,L90&gt;=1),"Nicho / especialización","")))</x:f>
        <x:v>Nicho / especialización</x:v>
      </x:c>
      <x:c r="AE90" s="26" t="str"/>
      <x:c r="AF90" s="26" t="str"/>
      <x:c r="AG90" s="26" t="str">
        <x:f>IF(AND(AB90="Universal / núcleo",AE90="Alta"),"Muy alta",IF(AND(OR(AD90="Emergente en grado",AD90="Emergente desde nivel avanzado"),AE90="Alta"),"Muy alta",IF(OR(AB90="Universal / núcleo",AB90="Consolidada",AE90="Alta"),"Alta",IF(OR(AD90&lt;&gt;"",AE90="Media"),"Media","Baja"))))</x:f>
        <x:v>Media</x:v>
      </x:c>
      <x:c r="AH90" s="26" t="str">
        <x:v>Comparar con la malla EPN Agro antes de decidir mantener/reforzar/integrar/añadir.</x:v>
      </x:c>
    </x:row>
    <x:row r="91">
      <x:c r="A91" s="26" t="str">
        <x:v>A12</x:v>
      </x:c>
      <x:c r="B91" s="26" t="str">
        <x:v>Economía, Gestión, Marketing y Cadena de Suministro</x:v>
      </x:c>
      <x:c r="C91" s="26" t="str">
        <x:v>S42</x:v>
      </x:c>
      <x:c r="D91" s="26" t="str">
        <x:v>Gestión industrial</x:v>
      </x:c>
      <x:c r="E91" s="26" t="str">
        <x:v>F1206</x:v>
      </x:c>
      <x:c r="F91" s="26" t="str">
        <x:v>Gestión de producción y operaciones</x:v>
      </x:c>
      <x:c r="G91" s="26" t="str">
        <x:v>Gestión de producción/operaciones.</x:v>
      </x:c>
      <x:c r="H91" s="26" t="n">
        <x:f>COUNTIF('04_Presencia_Curriculos'!D91:X91,"&gt;0")</x:f>
        <x:v>1</x:v>
      </x:c>
      <x:c r="I91" s="32" t="n">
        <x:f>H91/'01_Metodologia'!$F$4</x:f>
        <x:v>0.047619047619047616</x:v>
      </x:c>
      <x:c r="J91" s="26" t="n">
        <x:f>COUNTIF('04_Presencia_Curriculos'!D91:Q91,"&gt;0")</x:f>
        <x:v>0</x:v>
      </x:c>
      <x:c r="K91" s="32" t="n">
        <x:f>J91/'01_Metodologia'!$F$5</x:f>
        <x:v>0</x:v>
      </x:c>
      <x:c r="L91" s="26" t="n">
        <x:f>COUNTIF('04_Presencia_Curriculos'!D91:P91,"&gt;0")</x:f>
        <x:v>0</x:v>
      </x:c>
      <x:c r="M91" s="32" t="n">
        <x:f>L91/'01_Metodologia'!$F$6</x:f>
        <x:v>0</x:v>
      </x:c>
      <x:c r="N91" s="26" t="n">
        <x:f>COUNTIF('04_Presencia_Curriculos'!D91:P91,2)</x:f>
        <x:v>0</x:v>
      </x:c>
      <x:c r="O91" s="32" t="n">
        <x:f>N91/'01_Metodologia'!$F$6</x:f>
        <x:v>0</x:v>
      </x:c>
      <x:c r="P91" s="26" t="n">
        <x:f>COUNTIF('04_Presencia_Curriculos'!D91:P91,1)</x:f>
        <x:v>0</x:v>
      </x:c>
      <x:c r="Q91" s="26" t="n">
        <x:f>COUNTIF('04_Presencia_Curriculos'!R91:X91,"&gt;0")</x:f>
        <x:v>1</x:v>
      </x:c>
      <x:c r="R91" s="32" t="n">
        <x:f>Q91/'01_Metodologia'!$F$7</x:f>
        <x:v>0.14285714285714285</x:v>
      </x:c>
      <x:c r="S91" s="36" t="n">
        <x:v>0</x:v>
      </x:c>
      <x:c r="T91" s="32" t="n">
        <x:f>AVERAGE('05_Peso_Creditos_Core'!D91:O91)</x:f>
        <x:v>0</x:v>
      </x:c>
      <x:c r="U91" s="32" t="n">
        <x:f>MEDIAN('05_Peso_Creditos_Core'!D91:O91)</x:f>
        <x:v>0</x:v>
      </x:c>
      <x:c r="V91" s="34" t="str">
        <x:f>IF(COUNT('06_Posicion_Core'!D91:P91)=0,"",MEDIAN('06_Posicion_Core'!D91:P91))</x:f>
      </x:c>
      <x:c r="W91" s="26" t="str">
        <x:f>IF(V91="","NR",IF(V91&lt;=25,"E1 Fundamentos",IF(V91&lt;=50,"E2 Fundamentos de ingeniería",IF(V91&lt;=75,"E3 Formación profesional","E4 Integración/especialización"))))</x:f>
        <x:v>NR</x:v>
      </x:c>
      <x:c r="X91" s="26" t="str">
        <x:f>IF(COUNT('07_Profundidad_Core'!D91:P91)=0,"",MEDIAN('07_Profundidad_Core'!D91:P91))</x:f>
      </x:c>
      <x:c r="Y91" s="26" t="str">
        <x:f>IF(X91="","NR",IF(X91=INT(X91),"N"&amp;TEXT(X91,"0"),"N"&amp;TEXT(INT(X91),"0")&amp;"–N"&amp;TEXT(INT(X91)+1,"0")))</x:f>
        <x:v>NR</x:v>
      </x:c>
      <x:c r="Z91" s="32"/>
      <x:c r="AA91" s="32"/>
      <x:c r="AB91" s="26" t="str">
        <x:f>IF(M91&gt;=0.75,"Universal / núcleo",IF(M91&gt;=0.5,"Consolidada",IF(M91&gt;=0.25,"Selectiva","Baja prevalencia")))</x:f>
        <x:v>Baja prevalencia</x:v>
      </x:c>
      <x:c r="AC91" s="26" t="str">
        <x:v>No</x:v>
      </x:c>
      <x:c r="AD91" s="26" t="str">
        <x:f>IF(AND(AC91="Sí",L91&gt;=2,M91&lt;0.5,V91&gt;=45),"Emergente en grado",IF(AND(AC91="Sí",L91&lt;=1,Q91&gt;=2),"Emergente desde nivel avanzado",IF(AND(M91&lt;0.25,L91&gt;=1),"Nicho / especialización","")))</x:f>
      </x:c>
      <x:c r="AE91" s="26" t="str">
        <x:v>Alta</x:v>
      </x:c>
      <x:c r="AF91" s="26" t="str">
        <x:v>Optimización de procesos</x:v>
      </x:c>
      <x:c r="AG91" s="26" t="str">
        <x:f>IF(AND(AB91="Universal / núcleo",AE91="Alta"),"Muy alta",IF(AND(OR(AD91="Emergente en grado",AD91="Emergente desde nivel avanzado"),AE91="Alta"),"Muy alta",IF(OR(AB91="Universal / núcleo",AB91="Consolidada",AE91="Alta"),"Alta",IF(OR(AD91&lt;&gt;"",AE91="Media"),"Media","Baja"))))</x:f>
        <x:v>Alta</x:v>
      </x:c>
      <x:c r="AH91" s="26" t="str">
        <x:v>Comparar con la malla EPN Agro antes de decidir mantener/reforzar/integrar/añadir.</x:v>
      </x:c>
    </x:row>
    <x:row r="92">
      <x:c r="A92" s="26" t="str">
        <x:v>A12</x:v>
      </x:c>
      <x:c r="B92" s="26" t="str">
        <x:v>Economía, Gestión, Marketing y Cadena de Suministro</x:v>
      </x:c>
      <x:c r="C92" s="26" t="str">
        <x:v>S42</x:v>
      </x:c>
      <x:c r="D92" s="26" t="str">
        <x:v>Gestión industrial</x:v>
      </x:c>
      <x:c r="E92" s="26" t="str">
        <x:v>F1207</x:v>
      </x:c>
      <x:c r="F92" s="26" t="str">
        <x:v>Gestión de proyectos</x:v>
      </x:c>
      <x:c r="G92" s="26" t="str">
        <x:v>Gestión/organización de proyectos.</x:v>
      </x:c>
      <x:c r="H92" s="26" t="n">
        <x:f>COUNTIF('04_Presencia_Curriculos'!D92:X92,"&gt;0")</x:f>
        <x:v>3</x:v>
      </x:c>
      <x:c r="I92" s="32" t="n">
        <x:f>H92/'01_Metodologia'!$F$4</x:f>
        <x:v>0.14285714285714285</x:v>
      </x:c>
      <x:c r="J92" s="26" t="n">
        <x:f>COUNTIF('04_Presencia_Curriculos'!D92:Q92,"&gt;0")</x:f>
        <x:v>0</x:v>
      </x:c>
      <x:c r="K92" s="32" t="n">
        <x:f>J92/'01_Metodologia'!$F$5</x:f>
        <x:v>0</x:v>
      </x:c>
      <x:c r="L92" s="26" t="n">
        <x:f>COUNTIF('04_Presencia_Curriculos'!D92:P92,"&gt;0")</x:f>
        <x:v>0</x:v>
      </x:c>
      <x:c r="M92" s="32" t="n">
        <x:f>L92/'01_Metodologia'!$F$6</x:f>
        <x:v>0</x:v>
      </x:c>
      <x:c r="N92" s="26" t="n">
        <x:f>COUNTIF('04_Presencia_Curriculos'!D92:P92,2)</x:f>
        <x:v>0</x:v>
      </x:c>
      <x:c r="O92" s="32" t="n">
        <x:f>N92/'01_Metodologia'!$F$6</x:f>
        <x:v>0</x:v>
      </x:c>
      <x:c r="P92" s="26" t="n">
        <x:f>COUNTIF('04_Presencia_Curriculos'!D92:P92,1)</x:f>
        <x:v>0</x:v>
      </x:c>
      <x:c r="Q92" s="26" t="n">
        <x:f>COUNTIF('04_Presencia_Curriculos'!R92:X92,"&gt;0")</x:f>
        <x:v>3</x:v>
      </x:c>
      <x:c r="R92" s="32" t="n">
        <x:f>Q92/'01_Metodologia'!$F$7</x:f>
        <x:v>0.42857142857142855</x:v>
      </x:c>
      <x:c r="S92" s="36" t="n">
        <x:v>0</x:v>
      </x:c>
      <x:c r="T92" s="32" t="n">
        <x:f>AVERAGE('05_Peso_Creditos_Core'!D92:O92)</x:f>
        <x:v>0</x:v>
      </x:c>
      <x:c r="U92" s="32" t="n">
        <x:f>MEDIAN('05_Peso_Creditos_Core'!D92:O92)</x:f>
        <x:v>0</x:v>
      </x:c>
      <x:c r="V92" s="34" t="str">
        <x:f>IF(COUNT('06_Posicion_Core'!D92:P92)=0,"",MEDIAN('06_Posicion_Core'!D92:P92))</x:f>
      </x:c>
      <x:c r="W92" s="26" t="str">
        <x:f>IF(V92="","NR",IF(V92&lt;=25,"E1 Fundamentos",IF(V92&lt;=50,"E2 Fundamentos de ingeniería",IF(V92&lt;=75,"E3 Formación profesional","E4 Integración/especialización"))))</x:f>
        <x:v>NR</x:v>
      </x:c>
      <x:c r="X92" s="26" t="str">
        <x:f>IF(COUNT('07_Profundidad_Core'!D92:P92)=0,"",MEDIAN('07_Profundidad_Core'!D92:P92))</x:f>
      </x:c>
      <x:c r="Y92" s="26" t="str">
        <x:f>IF(X92="","NR",IF(X92=INT(X92),"N"&amp;TEXT(X92,"0"),"N"&amp;TEXT(INT(X92),"0")&amp;"–N"&amp;TEXT(INT(X92)+1,"0")))</x:f>
        <x:v>NR</x:v>
      </x:c>
      <x:c r="Z92" s="32"/>
      <x:c r="AA92" s="32"/>
      <x:c r="AB92" s="26" t="str">
        <x:f>IF(M92&gt;=0.75,"Universal / núcleo",IF(M92&gt;=0.5,"Consolidada",IF(M92&gt;=0.25,"Selectiva","Baja prevalencia")))</x:f>
        <x:v>Baja prevalencia</x:v>
      </x:c>
      <x:c r="AC92" s="26" t="str">
        <x:v>No</x:v>
      </x:c>
      <x:c r="AD92" s="26" t="str">
        <x:f>IF(AND(AC92="Sí",L92&gt;=2,M92&lt;0.5,V92&gt;=45),"Emergente en grado",IF(AND(AC92="Sí",L92&lt;=1,Q92&gt;=2),"Emergente desde nivel avanzado",IF(AND(M92&lt;0.25,L92&gt;=1),"Nicho / especialización","")))</x:f>
      </x:c>
      <x:c r="AE92" s="26" t="str">
        <x:v>Alta</x:v>
      </x:c>
      <x:c r="AF92" s="26" t="str">
        <x:v>Comunicación, liderazgo e inglés</x:v>
      </x:c>
      <x:c r="AG92" s="26" t="str">
        <x:f>IF(AND(AB92="Universal / núcleo",AE92="Alta"),"Muy alta",IF(AND(OR(AD92="Emergente en grado",AD92="Emergente desde nivel avanzado"),AE92="Alta"),"Muy alta",IF(OR(AB92="Universal / núcleo",AB92="Consolidada",AE92="Alta"),"Alta",IF(OR(AD92&lt;&gt;"",AE92="Media"),"Media","Baja"))))</x:f>
        <x:v>Alta</x:v>
      </x:c>
      <x:c r="AH92" s="26" t="str">
        <x:v>Comparar con la malla EPN Agro antes de decidir mantener/reforzar/integrar/añadir.</x:v>
      </x:c>
    </x:row>
    <x:row r="93">
      <x:c r="A93" s="26" t="str">
        <x:v>A12</x:v>
      </x:c>
      <x:c r="B93" s="26" t="str">
        <x:v>Economía, Gestión, Marketing y Cadena de Suministro</x:v>
      </x:c>
      <x:c r="C93" s="26" t="str">
        <x:v>S43</x:v>
      </x:c>
      <x:c r="D93" s="26" t="str">
        <x:v>Emprendimiento</x:v>
      </x:c>
      <x:c r="E93" s="26" t="str">
        <x:v>F1208</x:v>
      </x:c>
      <x:c r="F93" s="26" t="str">
        <x:v>Emprendimiento y modelos de negocio</x:v>
      </x:c>
      <x:c r="G93" s="26" t="str">
        <x:v>Emprendimiento y creación de empresa.</x:v>
      </x:c>
      <x:c r="H93" s="26" t="n">
        <x:f>COUNTIF('04_Presencia_Curriculos'!D93:X93,"&gt;0")</x:f>
        <x:v>4</x:v>
      </x:c>
      <x:c r="I93" s="32" t="n">
        <x:f>H93/'01_Metodologia'!$F$4</x:f>
        <x:v>0.19047619047619047</x:v>
      </x:c>
      <x:c r="J93" s="26" t="n">
        <x:f>COUNTIF('04_Presencia_Curriculos'!D93:Q93,"&gt;0")</x:f>
        <x:v>3</x:v>
      </x:c>
      <x:c r="K93" s="32" t="n">
        <x:f>J93/'01_Metodologia'!$F$5</x:f>
        <x:v>0.21428571428571427</x:v>
      </x:c>
      <x:c r="L93" s="26" t="n">
        <x:f>COUNTIF('04_Presencia_Curriculos'!D93:P93,"&gt;0")</x:f>
        <x:v>3</x:v>
      </x:c>
      <x:c r="M93" s="32" t="n">
        <x:f>L93/'01_Metodologia'!$F$6</x:f>
        <x:v>0.23076923076923078</x:v>
      </x:c>
      <x:c r="N93" s="26" t="n">
        <x:f>COUNTIF('04_Presencia_Curriculos'!D93:P93,2)</x:f>
        <x:v>2</x:v>
      </x:c>
      <x:c r="O93" s="32" t="n">
        <x:f>N93/'01_Metodologia'!$F$6</x:f>
        <x:v>0.15384615384615385</x:v>
      </x:c>
      <x:c r="P93" s="26" t="n">
        <x:f>COUNTIF('04_Presencia_Curriculos'!D93:P93,1)</x:f>
        <x:v>1</x:v>
      </x:c>
      <x:c r="Q93" s="26" t="n">
        <x:f>COUNTIF('04_Presencia_Curriculos'!R93:X93,"&gt;0")</x:f>
        <x:v>1</x:v>
      </x:c>
      <x:c r="R93" s="32" t="n">
        <x:f>Q93/'01_Metodologia'!$F$7</x:f>
        <x:v>0.14285714285714285</x:v>
      </x:c>
      <x:c r="S93" s="36" t="n">
        <x:v>0.9166666666666666</x:v>
      </x:c>
      <x:c r="T93" s="32" t="n">
        <x:f>AVERAGE('05_Peso_Creditos_Core'!D93:O93)</x:f>
        <x:v>0.005092592592592592</x:v>
      </x:c>
      <x:c r="U93" s="32" t="n">
        <x:f>MEDIAN('05_Peso_Creditos_Core'!D93:O93)</x:f>
        <x:v>0</x:v>
      </x:c>
      <x:c r="V93" s="34" t="n">
        <x:f>IF(COUNT('06_Posicion_Core'!D93:P93)=0,"",MEDIAN('06_Posicion_Core'!D93:P93))</x:f>
        <x:v>81.25</x:v>
      </x:c>
      <x:c r="W93" s="26" t="str">
        <x:f>IF(V93="","NR",IF(V93&lt;=25,"E1 Fundamentos",IF(V93&lt;=50,"E2 Fundamentos de ingeniería",IF(V93&lt;=75,"E3 Formación profesional","E4 Integración/especialización"))))</x:f>
        <x:v>E4 Integración/especialización</x:v>
      </x:c>
      <x:c r="X93" s="26" t="n">
        <x:f>IF(COUNT('07_Profundidad_Core'!D93:P93)=0,"",MEDIAN('07_Profundidad_Core'!D93:P93))</x:f>
        <x:v>2</x:v>
      </x:c>
      <x:c r="Y93" s="26" t="str">
        <x:f>IF(X93="","NR",IF(X93=INT(X93),"N"&amp;TEXT(X93,"0"),"N"&amp;TEXT(INT(X93),"0")&amp;"–N"&amp;TEXT(INT(X93)+1,"0")))</x:f>
        <x:v>N2</x:v>
      </x:c>
      <x:c r="Z93" s="32" t="n">
        <x:v>0</x:v>
      </x:c>
      <x:c r="AA93" s="32" t="n">
        <x:v>0</x:v>
      </x:c>
      <x:c r="AB93" s="26" t="str">
        <x:f>IF(M93&gt;=0.75,"Universal / núcleo",IF(M93&gt;=0.5,"Consolidada",IF(M93&gt;=0.25,"Selectiva","Baja prevalencia")))</x:f>
        <x:v>Baja prevalencia</x:v>
      </x:c>
      <x:c r="AC93" s="26" t="str">
        <x:v>Sí</x:v>
      </x:c>
      <x:c r="AD93" s="26" t="str">
        <x:f>IF(AND(AC93="Sí",L93&gt;=2,M93&lt;0.5,V93&gt;=45),"Emergente en grado",IF(AND(AC93="Sí",L93&lt;=1,Q93&gt;=2),"Emergente desde nivel avanzado",IF(AND(M93&lt;0.25,L93&gt;=1),"Nicho / especialización","")))</x:f>
        <x:v>Emergente en grado</x:v>
      </x:c>
      <x:c r="AE93" s="26" t="str">
        <x:v>Media</x:v>
      </x:c>
      <x:c r="AF93" s="26" t="str">
        <x:v>Marketing, gestión y emprendimiento</x:v>
      </x:c>
      <x:c r="AG93" s="26" t="str">
        <x:f>IF(AND(AB93="Universal / núcleo",AE93="Alta"),"Muy alta",IF(AND(OR(AD93="Emergente en grado",AD93="Emergente desde nivel avanzado"),AE93="Alta"),"Muy alta",IF(OR(AB93="Universal / núcleo",AB93="Consolidada",AE93="Alta"),"Alta",IF(OR(AD93&lt;&gt;"",AE93="Media"),"Media","Baja"))))</x:f>
        <x:v>Media</x:v>
      </x:c>
      <x:c r="AH93" s="26" t="str">
        <x:v>Comparar con la malla EPN Agro antes de decidir mantener/reforzar/integrar/añadir.</x:v>
      </x:c>
    </x:row>
    <x:row r="94">
      <x:c r="A94" s="26" t="str">
        <x:v>A13</x:v>
      </x:c>
      <x:c r="B94" s="26" t="str">
        <x:v>Nutrición, Salud, Sensorial y Consumidor</x:v>
      </x:c>
      <x:c r="C94" s="26" t="str">
        <x:v>S44</x:v>
      </x:c>
      <x:c r="D94" s="26" t="str">
        <x:v>Nutrición y salud</x:v>
      </x:c>
      <x:c r="E94" s="26" t="str">
        <x:v>F1301</x:v>
      </x:c>
      <x:c r="F94" s="26" t="str">
        <x:v>Nutrición humana y dietética</x:v>
      </x:c>
      <x:c r="G94" s="26" t="str">
        <x:v>Nutrición y dietética.</x:v>
      </x:c>
      <x:c r="H94" s="26" t="n">
        <x:f>COUNTIF('04_Presencia_Curriculos'!D94:X94,"&gt;0")</x:f>
        <x:v>6</x:v>
      </x:c>
      <x:c r="I94" s="32" t="n">
        <x:f>H94/'01_Metodologia'!$F$4</x:f>
        <x:v>0.2857142857142857</x:v>
      </x:c>
      <x:c r="J94" s="26" t="n">
        <x:f>COUNTIF('04_Presencia_Curriculos'!D94:Q94,"&gt;0")</x:f>
        <x:v>4</x:v>
      </x:c>
      <x:c r="K94" s="32" t="n">
        <x:f>J94/'01_Metodologia'!$F$5</x:f>
        <x:v>0.2857142857142857</x:v>
      </x:c>
      <x:c r="L94" s="26" t="n">
        <x:f>COUNTIF('04_Presencia_Curriculos'!D94:P94,"&gt;0")</x:f>
        <x:v>4</x:v>
      </x:c>
      <x:c r="M94" s="32" t="n">
        <x:f>L94/'01_Metodologia'!$F$6</x:f>
        <x:v>0.3076923076923077</x:v>
      </x:c>
      <x:c r="N94" s="26" t="n">
        <x:f>COUNTIF('04_Presencia_Curriculos'!D94:P94,2)</x:f>
        <x:v>4</x:v>
      </x:c>
      <x:c r="O94" s="32" t="n">
        <x:f>N94/'01_Metodologia'!$F$6</x:f>
        <x:v>0.3076923076923077</x:v>
      </x:c>
      <x:c r="P94" s="26" t="n">
        <x:f>COUNTIF('04_Presencia_Curriculos'!D94:P94,1)</x:f>
        <x:v>0</x:v>
      </x:c>
      <x:c r="Q94" s="26" t="n">
        <x:f>COUNTIF('04_Presencia_Curriculos'!R94:X94,"&gt;0")</x:f>
        <x:v>2</x:v>
      </x:c>
      <x:c r="R94" s="32" t="n">
        <x:f>Q94/'01_Metodologia'!$F$7</x:f>
        <x:v>0.2857142857142857</x:v>
      </x:c>
      <x:c r="S94" s="36" t="n">
        <x:v>1.25</x:v>
      </x:c>
      <x:c r="T94" s="32" t="n">
        <x:f>AVERAGE('05_Peso_Creditos_Core'!D94:O94)</x:f>
        <x:v>0.006597222222222222</x:v>
      </x:c>
      <x:c r="U94" s="32" t="n">
        <x:f>MEDIAN('05_Peso_Creditos_Core'!D94:O94)</x:f>
        <x:v>0</x:v>
      </x:c>
      <x:c r="V94" s="34" t="n">
        <x:f>IF(COUNT('06_Posicion_Core'!D94:P94)=0,"",MEDIAN('06_Posicion_Core'!D94:P94))</x:f>
        <x:v>41.66666666666667</x:v>
      </x:c>
      <x:c r="W94" s="26" t="str">
        <x:f>IF(V94="","NR",IF(V94&lt;=25,"E1 Fundamentos",IF(V94&lt;=50,"E2 Fundamentos de ingeniería",IF(V94&lt;=75,"E3 Formación profesional","E4 Integración/especialización"))))</x:f>
        <x:v>E2 Fundamentos de ingeniería</x:v>
      </x:c>
      <x:c r="X94" s="26" t="n">
        <x:f>IF(COUNT('07_Profundidad_Core'!D94:P94)=0,"",MEDIAN('07_Profundidad_Core'!D94:P94))</x:f>
        <x:v>2</x:v>
      </x:c>
      <x:c r="Y94" s="26" t="str">
        <x:f>IF(X94="","NR",IF(X94=INT(X94),"N"&amp;TEXT(X94,"0"),"N"&amp;TEXT(INT(X94),"0")&amp;"–N"&amp;TEXT(INT(X94)+1,"0")))</x:f>
        <x:v>N2</x:v>
      </x:c>
      <x:c r="Z94" s="32" t="n">
        <x:v>0</x:v>
      </x:c>
      <x:c r="AA94" s="32" t="n">
        <x:v>0</x:v>
      </x:c>
      <x:c r="AB94" s="26" t="str">
        <x:f>IF(M94&gt;=0.75,"Universal / núcleo",IF(M94&gt;=0.5,"Consolidada",IF(M94&gt;=0.25,"Selectiva","Baja prevalencia")))</x:f>
        <x:v>Selectiva</x:v>
      </x:c>
      <x:c r="AC94" s="26" t="str">
        <x:v>No</x:v>
      </x:c>
      <x:c r="AD94" s="26" t="str">
        <x:f>IF(AND(AC94="Sí",L94&gt;=2,M94&lt;0.5,V94&gt;=45),"Emergente en grado",IF(AND(AC94="Sí",L94&lt;=1,Q94&gt;=2),"Emergente desde nivel avanzado",IF(AND(M94&lt;0.25,L94&gt;=1),"Nicho / especialización","")))</x:f>
      </x:c>
      <x:c r="AE94" s="26" t="str"/>
      <x:c r="AF94" s="26" t="str"/>
      <x:c r="AG94" s="26" t="str">
        <x:f>IF(AND(AB94="Universal / núcleo",AE94="Alta"),"Muy alta",IF(AND(OR(AD94="Emergente en grado",AD94="Emergente desde nivel avanzado"),AE94="Alta"),"Muy alta",IF(OR(AB94="Universal / núcleo",AB94="Consolidada",AE94="Alta"),"Alta",IF(OR(AD94&lt;&gt;"",AE94="Media"),"Media","Baja"))))</x:f>
        <x:v>Baja</x:v>
      </x:c>
      <x:c r="AH94" s="26" t="str">
        <x:v>Comparar con la malla EPN Agro antes de decidir mantener/reforzar/integrar/añadir.</x:v>
      </x:c>
    </x:row>
    <x:row r="95">
      <x:c r="A95" s="26" t="str">
        <x:v>A13</x:v>
      </x:c>
      <x:c r="B95" s="26" t="str">
        <x:v>Nutrición, Salud, Sensorial y Consumidor</x:v>
      </x:c>
      <x:c r="C95" s="26" t="str">
        <x:v>S44</x:v>
      </x:c>
      <x:c r="D95" s="26" t="str">
        <x:v>Nutrición y salud</x:v>
      </x:c>
      <x:c r="E95" s="26" t="str">
        <x:v>F1302</x:v>
      </x:c>
      <x:c r="F95" s="26" t="str">
        <x:v>Alimentación y salud / alimentos funcionales</x:v>
      </x:c>
      <x:c r="G95" s="26" t="str">
        <x:v>Relación alimento-salud y funcionalidad.</x:v>
      </x:c>
      <x:c r="H95" s="26" t="n">
        <x:f>COUNTIF('04_Presencia_Curriculos'!D95:X95,"&gt;0")</x:f>
        <x:v>1</x:v>
      </x:c>
      <x:c r="I95" s="32" t="n">
        <x:f>H95/'01_Metodologia'!$F$4</x:f>
        <x:v>0.047619047619047616</x:v>
      </x:c>
      <x:c r="J95" s="26" t="n">
        <x:f>COUNTIF('04_Presencia_Curriculos'!D95:Q95,"&gt;0")</x:f>
        <x:v>0</x:v>
      </x:c>
      <x:c r="K95" s="32" t="n">
        <x:f>J95/'01_Metodologia'!$F$5</x:f>
        <x:v>0</x:v>
      </x:c>
      <x:c r="L95" s="26" t="n">
        <x:f>COUNTIF('04_Presencia_Curriculos'!D95:P95,"&gt;0")</x:f>
        <x:v>0</x:v>
      </x:c>
      <x:c r="M95" s="32" t="n">
        <x:f>L95/'01_Metodologia'!$F$6</x:f>
        <x:v>0</x:v>
      </x:c>
      <x:c r="N95" s="26" t="n">
        <x:f>COUNTIF('04_Presencia_Curriculos'!D95:P95,2)</x:f>
        <x:v>0</x:v>
      </x:c>
      <x:c r="O95" s="32" t="n">
        <x:f>N95/'01_Metodologia'!$F$6</x:f>
        <x:v>0</x:v>
      </x:c>
      <x:c r="P95" s="26" t="n">
        <x:f>COUNTIF('04_Presencia_Curriculos'!D95:P95,1)</x:f>
        <x:v>0</x:v>
      </x:c>
      <x:c r="Q95" s="26" t="n">
        <x:f>COUNTIF('04_Presencia_Curriculos'!R95:X95,"&gt;0")</x:f>
        <x:v>1</x:v>
      </x:c>
      <x:c r="R95" s="32" t="n">
        <x:f>Q95/'01_Metodologia'!$F$7</x:f>
        <x:v>0.14285714285714285</x:v>
      </x:c>
      <x:c r="S95" s="36" t="n">
        <x:v>0</x:v>
      </x:c>
      <x:c r="T95" s="32" t="n">
        <x:f>AVERAGE('05_Peso_Creditos_Core'!D95:O95)</x:f>
        <x:v>0</x:v>
      </x:c>
      <x:c r="U95" s="32" t="n">
        <x:f>MEDIAN('05_Peso_Creditos_Core'!D95:O95)</x:f>
        <x:v>0</x:v>
      </x:c>
      <x:c r="V95" s="34" t="str">
        <x:f>IF(COUNT('06_Posicion_Core'!D95:P95)=0,"",MEDIAN('06_Posicion_Core'!D95:P95))</x:f>
      </x:c>
      <x:c r="W95" s="26" t="str">
        <x:f>IF(V95="","NR",IF(V95&lt;=25,"E1 Fundamentos",IF(V95&lt;=50,"E2 Fundamentos de ingeniería",IF(V95&lt;=75,"E3 Formación profesional","E4 Integración/especialización"))))</x:f>
        <x:v>NR</x:v>
      </x:c>
      <x:c r="X95" s="26" t="str">
        <x:f>IF(COUNT('07_Profundidad_Core'!D95:P95)=0,"",MEDIAN('07_Profundidad_Core'!D95:P95))</x:f>
      </x:c>
      <x:c r="Y95" s="26" t="str">
        <x:f>IF(X95="","NR",IF(X95=INT(X95),"N"&amp;TEXT(X95,"0"),"N"&amp;TEXT(INT(X95),"0")&amp;"–N"&amp;TEXT(INT(X95)+1,"0")))</x:f>
        <x:v>NR</x:v>
      </x:c>
      <x:c r="Z95" s="32"/>
      <x:c r="AA95" s="32"/>
      <x:c r="AB95" s="26" t="str">
        <x:f>IF(M95&gt;=0.75,"Universal / núcleo",IF(M95&gt;=0.5,"Consolidada",IF(M95&gt;=0.25,"Selectiva","Baja prevalencia")))</x:f>
        <x:v>Baja prevalencia</x:v>
      </x:c>
      <x:c r="AC95" s="26" t="str">
        <x:v>Sí</x:v>
      </x:c>
      <x:c r="AD95" s="26" t="str">
        <x:f>IF(AND(AC95="Sí",L95&gt;=2,M95&lt;0.5,V95&gt;=45),"Emergente en grado",IF(AND(AC95="Sí",L95&lt;=1,Q95&gt;=2),"Emergente desde nivel avanzado",IF(AND(M95&lt;0.25,L95&gt;=1),"Nicho / especialización","")))</x:f>
      </x:c>
      <x:c r="AE95" s="26" t="str"/>
      <x:c r="AF95" s="26" t="str"/>
      <x:c r="AG95" s="26" t="str">
        <x:f>IF(AND(AB95="Universal / núcleo",AE95="Alta"),"Muy alta",IF(AND(OR(AD95="Emergente en grado",AD95="Emergente desde nivel avanzado"),AE95="Alta"),"Muy alta",IF(OR(AB95="Universal / núcleo",AB95="Consolidada",AE95="Alta"),"Alta",IF(OR(AD95&lt;&gt;"",AE95="Media"),"Media","Baja"))))</x:f>
        <x:v>Baja</x:v>
      </x:c>
      <x:c r="AH95" s="26" t="str">
        <x:v>Comparar con la malla EPN Agro antes de decidir mantener/reforzar/integrar/añadir.</x:v>
      </x:c>
    </x:row>
    <x:row r="96">
      <x:c r="A96" s="26" t="str">
        <x:v>A13</x:v>
      </x:c>
      <x:c r="B96" s="26" t="str">
        <x:v>Nutrición, Salud, Sensorial y Consumidor</x:v>
      </x:c>
      <x:c r="C96" s="26" t="str">
        <x:v>S45</x:v>
      </x:c>
      <x:c r="D96" s="26" t="str">
        <x:v>Consumidor</x:v>
      </x:c>
      <x:c r="E96" s="26" t="str">
        <x:v>F1303</x:v>
      </x:c>
      <x:c r="F96" s="26" t="str">
        <x:v>Ciencia sensorial y del consumidor</x:v>
      </x:c>
      <x:c r="G96" s="26" t="str">
        <x:v>Percepción y comportamiento del consumidor.</x:v>
      </x:c>
      <x:c r="H96" s="26" t="n">
        <x:f>COUNTIF('04_Presencia_Curriculos'!D96:X96,"&gt;0")</x:f>
        <x:v>0</x:v>
      </x:c>
      <x:c r="I96" s="32" t="n">
        <x:f>H96/'01_Metodologia'!$F$4</x:f>
        <x:v>0</x:v>
      </x:c>
      <x:c r="J96" s="26" t="n">
        <x:f>COUNTIF('04_Presencia_Curriculos'!D96:Q96,"&gt;0")</x:f>
        <x:v>0</x:v>
      </x:c>
      <x:c r="K96" s="32" t="n">
        <x:f>J96/'01_Metodologia'!$F$5</x:f>
        <x:v>0</x:v>
      </x:c>
      <x:c r="L96" s="26" t="n">
        <x:f>COUNTIF('04_Presencia_Curriculos'!D96:P96,"&gt;0")</x:f>
        <x:v>0</x:v>
      </x:c>
      <x:c r="M96" s="32" t="n">
        <x:f>L96/'01_Metodologia'!$F$6</x:f>
        <x:v>0</x:v>
      </x:c>
      <x:c r="N96" s="26" t="n">
        <x:f>COUNTIF('04_Presencia_Curriculos'!D96:P96,2)</x:f>
        <x:v>0</x:v>
      </x:c>
      <x:c r="O96" s="32" t="n">
        <x:f>N96/'01_Metodologia'!$F$6</x:f>
        <x:v>0</x:v>
      </x:c>
      <x:c r="P96" s="26" t="n">
        <x:f>COUNTIF('04_Presencia_Curriculos'!D96:P96,1)</x:f>
        <x:v>0</x:v>
      </x:c>
      <x:c r="Q96" s="26" t="n">
        <x:f>COUNTIF('04_Presencia_Curriculos'!R96:X96,"&gt;0")</x:f>
        <x:v>0</x:v>
      </x:c>
      <x:c r="R96" s="32" t="n">
        <x:f>Q96/'01_Metodologia'!$F$7</x:f>
        <x:v>0</x:v>
      </x:c>
      <x:c r="S96" s="36" t="n">
        <x:v>0</x:v>
      </x:c>
      <x:c r="T96" s="32" t="n">
        <x:f>AVERAGE('05_Peso_Creditos_Core'!D96:O96)</x:f>
        <x:v>0</x:v>
      </x:c>
      <x:c r="U96" s="32" t="n">
        <x:f>MEDIAN('05_Peso_Creditos_Core'!D96:O96)</x:f>
        <x:v>0</x:v>
      </x:c>
      <x:c r="V96" s="34" t="str">
        <x:f>IF(COUNT('06_Posicion_Core'!D96:P96)=0,"",MEDIAN('06_Posicion_Core'!D96:P96))</x:f>
      </x:c>
      <x:c r="W96" s="26" t="str">
        <x:f>IF(V96="","NR",IF(V96&lt;=25,"E1 Fundamentos",IF(V96&lt;=50,"E2 Fundamentos de ingeniería",IF(V96&lt;=75,"E3 Formación profesional","E4 Integración/especialización"))))</x:f>
        <x:v>NR</x:v>
      </x:c>
      <x:c r="X96" s="26" t="str">
        <x:f>IF(COUNT('07_Profundidad_Core'!D96:P96)=0,"",MEDIAN('07_Profundidad_Core'!D96:P96))</x:f>
      </x:c>
      <x:c r="Y96" s="26" t="str">
        <x:f>IF(X96="","NR",IF(X96=INT(X96),"N"&amp;TEXT(X96,"0"),"N"&amp;TEXT(INT(X96),"0")&amp;"–N"&amp;TEXT(INT(X96)+1,"0")))</x:f>
        <x:v>NR</x:v>
      </x:c>
      <x:c r="Z96" s="32"/>
      <x:c r="AA96" s="32"/>
      <x:c r="AB96" s="26" t="str">
        <x:f>IF(M96&gt;=0.75,"Universal / núcleo",IF(M96&gt;=0.5,"Consolidada",IF(M96&gt;=0.25,"Selectiva","Baja prevalencia")))</x:f>
        <x:v>Baja prevalencia</x:v>
      </x:c>
      <x:c r="AC96" s="26" t="str">
        <x:v>No</x:v>
      </x:c>
      <x:c r="AD96" s="26" t="str">
        <x:f>IF(AND(AC96="Sí",L96&gt;=2,M96&lt;0.5,V96&gt;=45),"Emergente en grado",IF(AND(AC96="Sí",L96&lt;=1,Q96&gt;=2),"Emergente desde nivel avanzado",IF(AND(M96&lt;0.25,L96&gt;=1),"Nicho / especialización","")))</x:f>
      </x:c>
      <x:c r="AE96" s="26" t="str"/>
      <x:c r="AF96" s="26" t="str"/>
      <x:c r="AG96" s="26" t="str">
        <x:f>IF(AND(AB96="Universal / núcleo",AE96="Alta"),"Muy alta",IF(AND(OR(AD96="Emergente en grado",AD96="Emergente desde nivel avanzado"),AE96="Alta"),"Muy alta",IF(OR(AB96="Universal / núcleo",AB96="Consolidada",AE96="Alta"),"Alta",IF(OR(AD96&lt;&gt;"",AE96="Media"),"Media","Baja"))))</x:f>
        <x:v>Baja</x:v>
      </x:c>
      <x:c r="AH96" s="26" t="str">
        <x:v>Comparar con la malla EPN Agro antes de decidir mantener/reforzar/integrar/añadir.</x:v>
      </x:c>
    </x:row>
    <x:row r="97">
      <x:c r="A97" s="26" t="str">
        <x:v>A14</x:v>
      </x:c>
      <x:c r="B97" s="26" t="str">
        <x:v>Innovación, I+D y Desarrollo de Producto</x:v>
      </x:c>
      <x:c r="C97" s="26" t="str">
        <x:v>S46</x:v>
      </x:c>
      <x:c r="D97" s="26" t="str">
        <x:v>Innovación de producto</x:v>
      </x:c>
      <x:c r="E97" s="26" t="str">
        <x:v>F1401</x:v>
      </x:c>
      <x:c r="F97" s="26" t="str">
        <x:v>Desarrollo e innovación de productos alimentarios</x:v>
      </x:c>
      <x:c r="G97" s="26" t="str">
        <x:v>Ideación, prototipado y escalado.</x:v>
      </x:c>
      <x:c r="H97" s="26" t="n">
        <x:f>COUNTIF('04_Presencia_Curriculos'!D97:X97,"&gt;0")</x:f>
        <x:v>9</x:v>
      </x:c>
      <x:c r="I97" s="32" t="n">
        <x:f>H97/'01_Metodologia'!$F$4</x:f>
        <x:v>0.42857142857142855</x:v>
      </x:c>
      <x:c r="J97" s="26" t="n">
        <x:f>COUNTIF('04_Presencia_Curriculos'!D97:Q97,"&gt;0")</x:f>
        <x:v>5</x:v>
      </x:c>
      <x:c r="K97" s="32" t="n">
        <x:f>J97/'01_Metodologia'!$F$5</x:f>
        <x:v>0.35714285714285715</x:v>
      </x:c>
      <x:c r="L97" s="26" t="n">
        <x:f>COUNTIF('04_Presencia_Curriculos'!D97:P97,"&gt;0")</x:f>
        <x:v>5</x:v>
      </x:c>
      <x:c r="M97" s="32" t="n">
        <x:f>L97/'01_Metodologia'!$F$6</x:f>
        <x:v>0.38461538461538464</x:v>
      </x:c>
      <x:c r="N97" s="26" t="n">
        <x:f>COUNTIF('04_Presencia_Curriculos'!D97:P97,2)</x:f>
        <x:v>3</x:v>
      </x:c>
      <x:c r="O97" s="32" t="n">
        <x:f>N97/'01_Metodologia'!$F$6</x:f>
        <x:v>0.23076923076923078</x:v>
      </x:c>
      <x:c r="P97" s="26" t="n">
        <x:f>COUNTIF('04_Presencia_Curriculos'!D97:P97,1)</x:f>
        <x:v>2</x:v>
      </x:c>
      <x:c r="Q97" s="26" t="n">
        <x:f>COUNTIF('04_Presencia_Curriculos'!R97:X97,"&gt;0")</x:f>
        <x:v>4</x:v>
      </x:c>
      <x:c r="R97" s="32" t="n">
        <x:f>Q97/'01_Metodologia'!$F$7</x:f>
        <x:v>0.5714285714285714</x:v>
      </x:c>
      <x:c r="S97" s="36" t="n">
        <x:v>0.9166666666666666</x:v>
      </x:c>
      <x:c r="T97" s="32" t="n">
        <x:f>AVERAGE('05_Peso_Creditos_Core'!D97:O97)</x:f>
        <x:v>0.005092592592592592</x:v>
      </x:c>
      <x:c r="U97" s="32" t="n">
        <x:f>MEDIAN('05_Peso_Creditos_Core'!D97:O97)</x:f>
        <x:v>0</x:v>
      </x:c>
      <x:c r="V97" s="34" t="n">
        <x:f>IF(COUNT('06_Posicion_Core'!D97:P97)=0,"",MEDIAN('06_Posicion_Core'!D97:P97))</x:f>
        <x:v>91.66666666666666</x:v>
      </x:c>
      <x:c r="W97" s="26" t="str">
        <x:f>IF(V97="","NR",IF(V97&lt;=25,"E1 Fundamentos",IF(V97&lt;=50,"E2 Fundamentos de ingeniería",IF(V97&lt;=75,"E3 Formación profesional","E4 Integración/especialización"))))</x:f>
        <x:v>E4 Integración/especialización</x:v>
      </x:c>
      <x:c r="X97" s="26" t="n">
        <x:f>IF(COUNT('07_Profundidad_Core'!D97:P97)=0,"",MEDIAN('07_Profundidad_Core'!D97:P97))</x:f>
        <x:v>2</x:v>
      </x:c>
      <x:c r="Y97" s="26" t="str">
        <x:f>IF(X97="","NR",IF(X97=INT(X97),"N"&amp;TEXT(X97,"0"),"N"&amp;TEXT(INT(X97),"0")&amp;"–N"&amp;TEXT(INT(X97)+1,"0")))</x:f>
        <x:v>N2</x:v>
      </x:c>
      <x:c r="Z97" s="32" t="n">
        <x:v>0</x:v>
      </x:c>
      <x:c r="AA97" s="32" t="n">
        <x:v>0</x:v>
      </x:c>
      <x:c r="AB97" s="26" t="str">
        <x:f>IF(M97&gt;=0.75,"Universal / núcleo",IF(M97&gt;=0.5,"Consolidada",IF(M97&gt;=0.25,"Selectiva","Baja prevalencia")))</x:f>
        <x:v>Selectiva</x:v>
      </x:c>
      <x:c r="AC97" s="26" t="str">
        <x:v>Sí</x:v>
      </x:c>
      <x:c r="AD97" s="26" t="str">
        <x:f>IF(AND(AC97="Sí",L97&gt;=2,M97&lt;0.5,V97&gt;=45),"Emergente en grado",IF(AND(AC97="Sí",L97&lt;=1,Q97&gt;=2),"Emergente desde nivel avanzado",IF(AND(M97&lt;0.25,L97&gt;=1),"Nicho / especialización","")))</x:f>
        <x:v>Emergente en grado</x:v>
      </x:c>
      <x:c r="AE97" s="26" t="str">
        <x:v>Media</x:v>
      </x:c>
      <x:c r="AF97" s="26" t="str">
        <x:v>Innovación y nuevos productos</x:v>
      </x:c>
      <x:c r="AG97" s="26" t="str">
        <x:f>IF(AND(AB97="Universal / núcleo",AE97="Alta"),"Muy alta",IF(AND(OR(AD97="Emergente en grado",AD97="Emergente desde nivel avanzado"),AE97="Alta"),"Muy alta",IF(OR(AB97="Universal / núcleo",AB97="Consolidada",AE97="Alta"),"Alta",IF(OR(AD97&lt;&gt;"",AE97="Media"),"Media","Baja"))))</x:f>
        <x:v>Media</x:v>
      </x:c>
      <x:c r="AH97" s="26" t="str">
        <x:v>Comparar con la malla EPN Agro antes de decidir mantener/reforzar/integrar/añadir.</x:v>
      </x:c>
    </x:row>
    <x:row r="98">
      <x:c r="A98" s="26" t="str">
        <x:v>A14</x:v>
      </x:c>
      <x:c r="B98" s="26" t="str">
        <x:v>Innovación, I+D y Desarrollo de Producto</x:v>
      </x:c>
      <x:c r="C98" s="26" t="str">
        <x:v>S46</x:v>
      </x:c>
      <x:c r="D98" s="26" t="str">
        <x:v>Innovación de producto</x:v>
      </x:c>
      <x:c r="E98" s="26" t="str">
        <x:v>F1402</x:v>
      </x:c>
      <x:c r="F98" s="26" t="str">
        <x:v>Formulación avanzada orientada a innovación</x:v>
      </x:c>
      <x:c r="G98" s="26" t="str">
        <x:v>Formulación con propósito explícito de innovación.</x:v>
      </x:c>
      <x:c r="H98" s="26" t="n">
        <x:f>COUNTIF('04_Presencia_Curriculos'!D98:X98,"&gt;0")</x:f>
        <x:v>0</x:v>
      </x:c>
      <x:c r="I98" s="32" t="n">
        <x:f>H98/'01_Metodologia'!$F$4</x:f>
        <x:v>0</x:v>
      </x:c>
      <x:c r="J98" s="26" t="n">
        <x:f>COUNTIF('04_Presencia_Curriculos'!D98:Q98,"&gt;0")</x:f>
        <x:v>0</x:v>
      </x:c>
      <x:c r="K98" s="32" t="n">
        <x:f>J98/'01_Metodologia'!$F$5</x:f>
        <x:v>0</x:v>
      </x:c>
      <x:c r="L98" s="26" t="n">
        <x:f>COUNTIF('04_Presencia_Curriculos'!D98:P98,"&gt;0")</x:f>
        <x:v>0</x:v>
      </x:c>
      <x:c r="M98" s="32" t="n">
        <x:f>L98/'01_Metodologia'!$F$6</x:f>
        <x:v>0</x:v>
      </x:c>
      <x:c r="N98" s="26" t="n">
        <x:f>COUNTIF('04_Presencia_Curriculos'!D98:P98,2)</x:f>
        <x:v>0</x:v>
      </x:c>
      <x:c r="O98" s="32" t="n">
        <x:f>N98/'01_Metodologia'!$F$6</x:f>
        <x:v>0</x:v>
      </x:c>
      <x:c r="P98" s="26" t="n">
        <x:f>COUNTIF('04_Presencia_Curriculos'!D98:P98,1)</x:f>
        <x:v>0</x:v>
      </x:c>
      <x:c r="Q98" s="26" t="n">
        <x:f>COUNTIF('04_Presencia_Curriculos'!R98:X98,"&gt;0")</x:f>
        <x:v>0</x:v>
      </x:c>
      <x:c r="R98" s="32" t="n">
        <x:f>Q98/'01_Metodologia'!$F$7</x:f>
        <x:v>0</x:v>
      </x:c>
      <x:c r="S98" s="36" t="n">
        <x:v>0</x:v>
      </x:c>
      <x:c r="T98" s="32" t="n">
        <x:f>AVERAGE('05_Peso_Creditos_Core'!D98:O98)</x:f>
        <x:v>0</x:v>
      </x:c>
      <x:c r="U98" s="32" t="n">
        <x:f>MEDIAN('05_Peso_Creditos_Core'!D98:O98)</x:f>
        <x:v>0</x:v>
      </x:c>
      <x:c r="V98" s="34" t="str">
        <x:f>IF(COUNT('06_Posicion_Core'!D98:P98)=0,"",MEDIAN('06_Posicion_Core'!D98:P98))</x:f>
      </x:c>
      <x:c r="W98" s="26" t="str">
        <x:f>IF(V98="","NR",IF(V98&lt;=25,"E1 Fundamentos",IF(V98&lt;=50,"E2 Fundamentos de ingeniería",IF(V98&lt;=75,"E3 Formación profesional","E4 Integración/especialización"))))</x:f>
        <x:v>NR</x:v>
      </x:c>
      <x:c r="X98" s="26" t="str">
        <x:f>IF(COUNT('07_Profundidad_Core'!D98:P98)=0,"",MEDIAN('07_Profundidad_Core'!D98:P98))</x:f>
      </x:c>
      <x:c r="Y98" s="26" t="str">
        <x:f>IF(X98="","NR",IF(X98=INT(X98),"N"&amp;TEXT(X98,"0"),"N"&amp;TEXT(INT(X98),"0")&amp;"–N"&amp;TEXT(INT(X98)+1,"0")))</x:f>
        <x:v>NR</x:v>
      </x:c>
      <x:c r="Z98" s="32"/>
      <x:c r="AA98" s="32"/>
      <x:c r="AB98" s="26" t="str">
        <x:f>IF(M98&gt;=0.75,"Universal / núcleo",IF(M98&gt;=0.5,"Consolidada",IF(M98&gt;=0.25,"Selectiva","Baja prevalencia")))</x:f>
        <x:v>Baja prevalencia</x:v>
      </x:c>
      <x:c r="AC98" s="26" t="str">
        <x:v>Sí</x:v>
      </x:c>
      <x:c r="AD98" s="26" t="str">
        <x:f>IF(AND(AC98="Sí",L98&gt;=2,M98&lt;0.5,V98&gt;=45),"Emergente en grado",IF(AND(AC98="Sí",L98&lt;=1,Q98&gt;=2),"Emergente desde nivel avanzado",IF(AND(M98&lt;0.25,L98&gt;=1),"Nicho / especialización","")))</x:f>
      </x:c>
      <x:c r="AE98" s="26" t="str">
        <x:v>Media</x:v>
      </x:c>
      <x:c r="AF98" s="26" t="str">
        <x:v>Innovación y nuevos productos</x:v>
      </x:c>
      <x:c r="AG98" s="26" t="str">
        <x:f>IF(AND(AB98="Universal / núcleo",AE98="Alta"),"Muy alta",IF(AND(OR(AD98="Emergente en grado",AD98="Emergente desde nivel avanzado"),AE98="Alta"),"Muy alta",IF(OR(AB98="Universal / núcleo",AB98="Consolidada",AE98="Alta"),"Alta",IF(OR(AD98&lt;&gt;"",AE98="Media"),"Media","Baja"))))</x:f>
        <x:v>Media</x:v>
      </x:c>
      <x:c r="AH98" s="26" t="str">
        <x:v>Comparar con la malla EPN Agro antes de decidir mantener/reforzar/integrar/añadir.</x:v>
      </x:c>
    </x:row>
    <x:row r="99">
      <x:c r="A99" s="26" t="str">
        <x:v>A14</x:v>
      </x:c>
      <x:c r="B99" s="26" t="str">
        <x:v>Innovación, I+D y Desarrollo de Producto</x:v>
      </x:c>
      <x:c r="C99" s="26" t="str">
        <x:v>S47</x:v>
      </x:c>
      <x:c r="D99" s="26" t="str">
        <x:v>I+D</x:v>
      </x:c>
      <x:c r="E99" s="26" t="str">
        <x:v>F1403</x:v>
      </x:c>
      <x:c r="F99" s="26" t="str">
        <x:v>Investigación y desarrollo aplicado</x:v>
      </x:c>
      <x:c r="G99" s="26" t="str">
        <x:v>I+D y transferencia tecnológica.</x:v>
      </x:c>
      <x:c r="H99" s="26" t="n">
        <x:f>COUNTIF('04_Presencia_Curriculos'!D99:X99,"&gt;0")</x:f>
        <x:v>2</x:v>
      </x:c>
      <x:c r="I99" s="32" t="n">
        <x:f>H99/'01_Metodologia'!$F$4</x:f>
        <x:v>0.09523809523809523</x:v>
      </x:c>
      <x:c r="J99" s="26" t="n">
        <x:f>COUNTIF('04_Presencia_Curriculos'!D99:Q99,"&gt;0")</x:f>
        <x:v>0</x:v>
      </x:c>
      <x:c r="K99" s="32" t="n">
        <x:f>J99/'01_Metodologia'!$F$5</x:f>
        <x:v>0</x:v>
      </x:c>
      <x:c r="L99" s="26" t="n">
        <x:f>COUNTIF('04_Presencia_Curriculos'!D99:P99,"&gt;0")</x:f>
        <x:v>0</x:v>
      </x:c>
      <x:c r="M99" s="32" t="n">
        <x:f>L99/'01_Metodologia'!$F$6</x:f>
        <x:v>0</x:v>
      </x:c>
      <x:c r="N99" s="26" t="n">
        <x:f>COUNTIF('04_Presencia_Curriculos'!D99:P99,2)</x:f>
        <x:v>0</x:v>
      </x:c>
      <x:c r="O99" s="32" t="n">
        <x:f>N99/'01_Metodologia'!$F$6</x:f>
        <x:v>0</x:v>
      </x:c>
      <x:c r="P99" s="26" t="n">
        <x:f>COUNTIF('04_Presencia_Curriculos'!D99:P99,1)</x:f>
        <x:v>0</x:v>
      </x:c>
      <x:c r="Q99" s="26" t="n">
        <x:f>COUNTIF('04_Presencia_Curriculos'!R99:X99,"&gt;0")</x:f>
        <x:v>2</x:v>
      </x:c>
      <x:c r="R99" s="32" t="n">
        <x:f>Q99/'01_Metodologia'!$F$7</x:f>
        <x:v>0.2857142857142857</x:v>
      </x:c>
      <x:c r="S99" s="36" t="n">
        <x:v>0</x:v>
      </x:c>
      <x:c r="T99" s="32" t="n">
        <x:f>AVERAGE('05_Peso_Creditos_Core'!D99:O99)</x:f>
        <x:v>0</x:v>
      </x:c>
      <x:c r="U99" s="32" t="n">
        <x:f>MEDIAN('05_Peso_Creditos_Core'!D99:O99)</x:f>
        <x:v>0</x:v>
      </x:c>
      <x:c r="V99" s="34" t="str">
        <x:f>IF(COUNT('06_Posicion_Core'!D99:P99)=0,"",MEDIAN('06_Posicion_Core'!D99:P99))</x:f>
      </x:c>
      <x:c r="W99" s="26" t="str">
        <x:f>IF(V99="","NR",IF(V99&lt;=25,"E1 Fundamentos",IF(V99&lt;=50,"E2 Fundamentos de ingeniería",IF(V99&lt;=75,"E3 Formación profesional","E4 Integración/especialización"))))</x:f>
        <x:v>NR</x:v>
      </x:c>
      <x:c r="X99" s="26" t="str">
        <x:f>IF(COUNT('07_Profundidad_Core'!D99:P99)=0,"",MEDIAN('07_Profundidad_Core'!D99:P99))</x:f>
      </x:c>
      <x:c r="Y99" s="26" t="str">
        <x:f>IF(X99="","NR",IF(X99=INT(X99),"N"&amp;TEXT(X99,"0"),"N"&amp;TEXT(INT(X99),"0")&amp;"–N"&amp;TEXT(INT(X99)+1,"0")))</x:f>
        <x:v>NR</x:v>
      </x:c>
      <x:c r="Z99" s="32"/>
      <x:c r="AA99" s="32"/>
      <x:c r="AB99" s="26" t="str">
        <x:f>IF(M99&gt;=0.75,"Universal / núcleo",IF(M99&gt;=0.5,"Consolidada",IF(M99&gt;=0.25,"Selectiva","Baja prevalencia")))</x:f>
        <x:v>Baja prevalencia</x:v>
      </x:c>
      <x:c r="AC99" s="26" t="str">
        <x:v>Sí</x:v>
      </x:c>
      <x:c r="AD99" s="26" t="str">
        <x:f>IF(AND(AC99="Sí",L99&gt;=2,M99&lt;0.5,V99&gt;=45),"Emergente en grado",IF(AND(AC99="Sí",L99&lt;=1,Q99&gt;=2),"Emergente desde nivel avanzado",IF(AND(M99&lt;0.25,L99&gt;=1),"Nicho / especialización","")))</x:f>
        <x:v>Emergente desde nivel avanzado</x:v>
      </x:c>
      <x:c r="AE99" s="26" t="str">
        <x:v>Media</x:v>
      </x:c>
      <x:c r="AF99" s="26" t="str">
        <x:v>Innovación y nuevos productos</x:v>
      </x:c>
      <x:c r="AG99" s="26" t="str">
        <x:f>IF(AND(AB99="Universal / núcleo",AE99="Alta"),"Muy alta",IF(AND(OR(AD99="Emergente en grado",AD99="Emergente desde nivel avanzado"),AE99="Alta"),"Muy alta",IF(OR(AB99="Universal / núcleo",AB99="Consolidada",AE99="Alta"),"Alta",IF(OR(AD99&lt;&gt;"",AE99="Media"),"Media","Baja"))))</x:f>
        <x:v>Media</x:v>
      </x:c>
      <x:c r="AH99" s="26" t="str">
        <x:v>Comparar con la malla EPN Agro antes de decidir mantener/reforzar/integrar/añadir.</x:v>
      </x:c>
    </x:row>
    <x:row r="100">
      <x:c r="A100" s="26" t="str">
        <x:v>A14</x:v>
      </x:c>
      <x:c r="B100" s="26" t="str">
        <x:v>Innovación, I+D y Desarrollo de Producto</x:v>
      </x:c>
      <x:c r="C100" s="26" t="str">
        <x:v>S47</x:v>
      </x:c>
      <x:c r="D100" s="26" t="str">
        <x:v>I+D</x:v>
      </x:c>
      <x:c r="E100" s="26" t="str">
        <x:v>F1404</x:v>
      </x:c>
      <x:c r="F100" s="26" t="str">
        <x:v>Diseño experimental aplicado a I+D</x:v>
      </x:c>
      <x:c r="G100" s="26" t="str">
        <x:v>DOE integrado a innovación/I+D.</x:v>
      </x:c>
      <x:c r="H100" s="26" t="n">
        <x:f>COUNTIF('04_Presencia_Curriculos'!D100:X100,"&gt;0")</x:f>
        <x:v>0</x:v>
      </x:c>
      <x:c r="I100" s="32" t="n">
        <x:f>H100/'01_Metodologia'!$F$4</x:f>
        <x:v>0</x:v>
      </x:c>
      <x:c r="J100" s="26" t="n">
        <x:f>COUNTIF('04_Presencia_Curriculos'!D100:Q100,"&gt;0")</x:f>
        <x:v>0</x:v>
      </x:c>
      <x:c r="K100" s="32" t="n">
        <x:f>J100/'01_Metodologia'!$F$5</x:f>
        <x:v>0</x:v>
      </x:c>
      <x:c r="L100" s="26" t="n">
        <x:f>COUNTIF('04_Presencia_Curriculos'!D100:P100,"&gt;0")</x:f>
        <x:v>0</x:v>
      </x:c>
      <x:c r="M100" s="32" t="n">
        <x:f>L100/'01_Metodologia'!$F$6</x:f>
        <x:v>0</x:v>
      </x:c>
      <x:c r="N100" s="26" t="n">
        <x:f>COUNTIF('04_Presencia_Curriculos'!D100:P100,2)</x:f>
        <x:v>0</x:v>
      </x:c>
      <x:c r="O100" s="32" t="n">
        <x:f>N100/'01_Metodologia'!$F$6</x:f>
        <x:v>0</x:v>
      </x:c>
      <x:c r="P100" s="26" t="n">
        <x:f>COUNTIF('04_Presencia_Curriculos'!D100:P100,1)</x:f>
        <x:v>0</x:v>
      </x:c>
      <x:c r="Q100" s="26" t="n">
        <x:f>COUNTIF('04_Presencia_Curriculos'!R100:X100,"&gt;0")</x:f>
        <x:v>0</x:v>
      </x:c>
      <x:c r="R100" s="32" t="n">
        <x:f>Q100/'01_Metodologia'!$F$7</x:f>
        <x:v>0</x:v>
      </x:c>
      <x:c r="S100" s="36" t="n">
        <x:v>0</x:v>
      </x:c>
      <x:c r="T100" s="32" t="n">
        <x:f>AVERAGE('05_Peso_Creditos_Core'!D100:O100)</x:f>
        <x:v>0</x:v>
      </x:c>
      <x:c r="U100" s="32" t="n">
        <x:f>MEDIAN('05_Peso_Creditos_Core'!D100:O100)</x:f>
        <x:v>0</x:v>
      </x:c>
      <x:c r="V100" s="34" t="str">
        <x:f>IF(COUNT('06_Posicion_Core'!D100:P100)=0,"",MEDIAN('06_Posicion_Core'!D100:P100))</x:f>
      </x:c>
      <x:c r="W100" s="26" t="str">
        <x:f>IF(V100="","NR",IF(V100&lt;=25,"E1 Fundamentos",IF(V100&lt;=50,"E2 Fundamentos de ingeniería",IF(V100&lt;=75,"E3 Formación profesional","E4 Integración/especialización"))))</x:f>
        <x:v>NR</x:v>
      </x:c>
      <x:c r="X100" s="26" t="str">
        <x:f>IF(COUNT('07_Profundidad_Core'!D100:P100)=0,"",MEDIAN('07_Profundidad_Core'!D100:P100))</x:f>
      </x:c>
      <x:c r="Y100" s="26" t="str">
        <x:f>IF(X100="","NR",IF(X100=INT(X100),"N"&amp;TEXT(X100,"0"),"N"&amp;TEXT(INT(X100),"0")&amp;"–N"&amp;TEXT(INT(X100)+1,"0")))</x:f>
        <x:v>NR</x:v>
      </x:c>
      <x:c r="Z100" s="32"/>
      <x:c r="AA100" s="32"/>
      <x:c r="AB100" s="26" t="str">
        <x:f>IF(M100&gt;=0.75,"Universal / núcleo",IF(M100&gt;=0.5,"Consolidada",IF(M100&gt;=0.25,"Selectiva","Baja prevalencia")))</x:f>
        <x:v>Baja prevalencia</x:v>
      </x:c>
      <x:c r="AC100" s="26" t="str">
        <x:v>Sí</x:v>
      </x:c>
      <x:c r="AD100" s="26" t="str">
        <x:f>IF(AND(AC100="Sí",L100&gt;=2,M100&lt;0.5,V100&gt;=45),"Emergente en grado",IF(AND(AC100="Sí",L100&lt;=1,Q100&gt;=2),"Emergente desde nivel avanzado",IF(AND(M100&lt;0.25,L100&gt;=1),"Nicho / especialización","")))</x:f>
      </x:c>
      <x:c r="AE100" s="26" t="str">
        <x:v>Media</x:v>
      </x:c>
      <x:c r="AF100" s="26" t="str">
        <x:v>Innovación y nuevos productos</x:v>
      </x:c>
      <x:c r="AG100" s="26" t="str">
        <x:f>IF(AND(AB100="Universal / núcleo",AE100="Alta"),"Muy alta",IF(AND(OR(AD100="Emergente en grado",AD100="Emergente desde nivel avanzado"),AE100="Alta"),"Muy alta",IF(OR(AB100="Universal / núcleo",AB100="Consolidada",AE100="Alta"),"Alta",IF(OR(AD100&lt;&gt;"",AE100="Media"),"Media","Baja"))))</x:f>
        <x:v>Media</x:v>
      </x:c>
      <x:c r="AH100" s="26" t="str">
        <x:v>Comparar con la malla EPN Agro antes de decidir mantener/reforzar/integrar/añadir.</x:v>
      </x:c>
    </x:row>
    <x:row r="101">
      <x:c r="A101" s="26" t="str">
        <x:v>A15</x:v>
      </x:c>
      <x:c r="B101" s="26" t="str">
        <x:v>Integración Profesional, Proyectos, Prácticas y Titulación</x:v>
      </x:c>
      <x:c r="C101" s="26" t="str">
        <x:v>S48</x:v>
      </x:c>
      <x:c r="D101" s="26" t="str">
        <x:v>Integración</x:v>
      </x:c>
      <x:c r="E101" s="26" t="str">
        <x:v>F1501</x:v>
      </x:c>
      <x:c r="F101" s="26" t="str">
        <x:v>Proyecto de ingeniería / oficina técnica</x:v>
      </x:c>
      <x:c r="G101" s="26" t="str">
        <x:v>Proyecto técnico profesional.</x:v>
      </x:c>
      <x:c r="H101" s="26" t="n">
        <x:f>COUNTIF('04_Presencia_Curriculos'!D101:X101,"&gt;0")</x:f>
        <x:v>6</x:v>
      </x:c>
      <x:c r="I101" s="32" t="n">
        <x:f>H101/'01_Metodologia'!$F$4</x:f>
        <x:v>0.2857142857142857</x:v>
      </x:c>
      <x:c r="J101" s="26" t="n">
        <x:f>COUNTIF('04_Presencia_Curriculos'!D101:Q101,"&gt;0")</x:f>
        <x:v>5</x:v>
      </x:c>
      <x:c r="K101" s="32" t="n">
        <x:f>J101/'01_Metodologia'!$F$5</x:f>
        <x:v>0.35714285714285715</x:v>
      </x:c>
      <x:c r="L101" s="26" t="n">
        <x:f>COUNTIF('04_Presencia_Curriculos'!D101:P101,"&gt;0")</x:f>
        <x:v>4</x:v>
      </x:c>
      <x:c r="M101" s="32" t="n">
        <x:f>L101/'01_Metodologia'!$F$6</x:f>
        <x:v>0.3076923076923077</x:v>
      </x:c>
      <x:c r="N101" s="26" t="n">
        <x:f>COUNTIF('04_Presencia_Curriculos'!D101:P101,2)</x:f>
        <x:v>4</x:v>
      </x:c>
      <x:c r="O101" s="32" t="n">
        <x:f>N101/'01_Metodologia'!$F$6</x:f>
        <x:v>0.3076923076923077</x:v>
      </x:c>
      <x:c r="P101" s="26" t="n">
        <x:f>COUNTIF('04_Presencia_Curriculos'!D101:P101,1)</x:f>
        <x:v>0</x:v>
      </x:c>
      <x:c r="Q101" s="26" t="n">
        <x:f>COUNTIF('04_Presencia_Curriculos'!R101:X101,"&gt;0")</x:f>
        <x:v>1</x:v>
      </x:c>
      <x:c r="R101" s="32" t="n">
        <x:f>Q101/'01_Metodologia'!$F$7</x:f>
        <x:v>0.14285714285714285</x:v>
      </x:c>
      <x:c r="S101" s="36" t="n">
        <x:v>1.3333333333333333</x:v>
      </x:c>
      <x:c r="T101" s="32" t="n">
        <x:f>AVERAGE('05_Peso_Creditos_Core'!D101:O101)</x:f>
        <x:v>0.005555555555555557</x:v>
      </x:c>
      <x:c r="U101" s="32" t="n">
        <x:f>MEDIAN('05_Peso_Creditos_Core'!D101:O101)</x:f>
        <x:v>0</x:v>
      </x:c>
      <x:c r="V101" s="34" t="n">
        <x:f>IF(COUNT('06_Posicion_Core'!D101:P101)=0,"",MEDIAN('06_Posicion_Core'!D101:P101))</x:f>
        <x:v>75</x:v>
      </x:c>
      <x:c r="W101" s="26" t="str">
        <x:f>IF(V101="","NR",IF(V101&lt;=25,"E1 Fundamentos",IF(V101&lt;=50,"E2 Fundamentos de ingeniería",IF(V101&lt;=75,"E3 Formación profesional","E4 Integración/especialización"))))</x:f>
        <x:v>E3 Formación profesional</x:v>
      </x:c>
      <x:c r="X101" s="26" t="str">
        <x:f>IF(COUNT('07_Profundidad_Core'!D101:P101)=0,"",MEDIAN('07_Profundidad_Core'!D101:P101))</x:f>
      </x:c>
      <x:c r="Y101" s="26" t="str">
        <x:f>IF(X101="","NR",IF(X101=INT(X101),"N"&amp;TEXT(X101,"0"),"N"&amp;TEXT(INT(X101),"0")&amp;"–N"&amp;TEXT(INT(X101)+1,"0")))</x:f>
        <x:v>NR</x:v>
      </x:c>
      <x:c r="Z101" s="32" t="n">
        <x:v>0</x:v>
      </x:c>
      <x:c r="AA101" s="32" t="n">
        <x:v>0</x:v>
      </x:c>
      <x:c r="AB101" s="26" t="str">
        <x:f>IF(M101&gt;=0.75,"Universal / núcleo",IF(M101&gt;=0.5,"Consolidada",IF(M101&gt;=0.25,"Selectiva","Baja prevalencia")))</x:f>
        <x:v>Selectiva</x:v>
      </x:c>
      <x:c r="AC101" s="26" t="str">
        <x:v>No</x:v>
      </x:c>
      <x:c r="AD101" s="26" t="str">
        <x:f>IF(AND(AC101="Sí",L101&gt;=2,M101&lt;0.5,V101&gt;=45),"Emergente en grado",IF(AND(AC101="Sí",L101&lt;=1,Q101&gt;=2),"Emergente desde nivel avanzado",IF(AND(M101&lt;0.25,L101&gt;=1),"Nicho / especialización","")))</x:f>
      </x:c>
      <x:c r="AE101" s="26" t="str">
        <x:v>Alta</x:v>
      </x:c>
      <x:c r="AF101" s="26" t="str">
        <x:v>Práctica e industria</x:v>
      </x:c>
      <x:c r="AG101" s="26" t="str">
        <x:f>IF(AND(AB101="Universal / núcleo",AE101="Alta"),"Muy alta",IF(AND(OR(AD101="Emergente en grado",AD101="Emergente desde nivel avanzado"),AE101="Alta"),"Muy alta",IF(OR(AB101="Universal / núcleo",AB101="Consolidada",AE101="Alta"),"Alta",IF(OR(AD101&lt;&gt;"",AE101="Media"),"Media","Baja"))))</x:f>
        <x:v>Alta</x:v>
      </x:c>
      <x:c r="AH101" s="26" t="str">
        <x:v>Comparar con la malla EPN Agro antes de decidir mantener/reforzar/integrar/añadir.</x:v>
      </x:c>
    </x:row>
    <x:row r="102">
      <x:c r="A102" s="26" t="str">
        <x:v>A15</x:v>
      </x:c>
      <x:c r="B102" s="26" t="str">
        <x:v>Integración Profesional, Proyectos, Prácticas y Titulación</x:v>
      </x:c>
      <x:c r="C102" s="26" t="str">
        <x:v>S48</x:v>
      </x:c>
      <x:c r="D102" s="26" t="str">
        <x:v>Integración</x:v>
      </x:c>
      <x:c r="E102" s="26" t="str">
        <x:v>F1502</x:v>
      </x:c>
      <x:c r="F102" s="26" t="str">
        <x:v>Proyecto integrador / capstone</x:v>
      </x:c>
      <x:c r="G102" s="26" t="str">
        <x:v>Proyecto multidisciplinario integrador.</x:v>
      </x:c>
      <x:c r="H102" s="26" t="n">
        <x:f>COUNTIF('04_Presencia_Curriculos'!D102:X102,"&gt;0")</x:f>
        <x:v>2</x:v>
      </x:c>
      <x:c r="I102" s="32" t="n">
        <x:f>H102/'01_Metodologia'!$F$4</x:f>
        <x:v>0.09523809523809523</x:v>
      </x:c>
      <x:c r="J102" s="26" t="n">
        <x:f>COUNTIF('04_Presencia_Curriculos'!D102:Q102,"&gt;0")</x:f>
        <x:v>0</x:v>
      </x:c>
      <x:c r="K102" s="32" t="n">
        <x:f>J102/'01_Metodologia'!$F$5</x:f>
        <x:v>0</x:v>
      </x:c>
      <x:c r="L102" s="26" t="n">
        <x:f>COUNTIF('04_Presencia_Curriculos'!D102:P102,"&gt;0")</x:f>
        <x:v>0</x:v>
      </x:c>
      <x:c r="M102" s="32" t="n">
        <x:f>L102/'01_Metodologia'!$F$6</x:f>
        <x:v>0</x:v>
      </x:c>
      <x:c r="N102" s="26" t="n">
        <x:f>COUNTIF('04_Presencia_Curriculos'!D102:P102,2)</x:f>
        <x:v>0</x:v>
      </x:c>
      <x:c r="O102" s="32" t="n">
        <x:f>N102/'01_Metodologia'!$F$6</x:f>
        <x:v>0</x:v>
      </x:c>
      <x:c r="P102" s="26" t="n">
        <x:f>COUNTIF('04_Presencia_Curriculos'!D102:P102,1)</x:f>
        <x:v>0</x:v>
      </x:c>
      <x:c r="Q102" s="26" t="n">
        <x:f>COUNTIF('04_Presencia_Curriculos'!R102:X102,"&gt;0")</x:f>
        <x:v>2</x:v>
      </x:c>
      <x:c r="R102" s="32" t="n">
        <x:f>Q102/'01_Metodologia'!$F$7</x:f>
        <x:v>0.2857142857142857</x:v>
      </x:c>
      <x:c r="S102" s="36" t="n">
        <x:v>0</x:v>
      </x:c>
      <x:c r="T102" s="32" t="n">
        <x:f>AVERAGE('05_Peso_Creditos_Core'!D102:O102)</x:f>
        <x:v>0</x:v>
      </x:c>
      <x:c r="U102" s="32" t="n">
        <x:f>MEDIAN('05_Peso_Creditos_Core'!D102:O102)</x:f>
        <x:v>0</x:v>
      </x:c>
      <x:c r="V102" s="34" t="str">
        <x:f>IF(COUNT('06_Posicion_Core'!D102:P102)=0,"",MEDIAN('06_Posicion_Core'!D102:P102))</x:f>
      </x:c>
      <x:c r="W102" s="26" t="str">
        <x:f>IF(V102="","NR",IF(V102&lt;=25,"E1 Fundamentos",IF(V102&lt;=50,"E2 Fundamentos de ingeniería",IF(V102&lt;=75,"E3 Formación profesional","E4 Integración/especialización"))))</x:f>
        <x:v>NR</x:v>
      </x:c>
      <x:c r="X102" s="26" t="str">
        <x:f>IF(COUNT('07_Profundidad_Core'!D102:P102)=0,"",MEDIAN('07_Profundidad_Core'!D102:P102))</x:f>
      </x:c>
      <x:c r="Y102" s="26" t="str">
        <x:f>IF(X102="","NR",IF(X102=INT(X102),"N"&amp;TEXT(X102,"0"),"N"&amp;TEXT(INT(X102),"0")&amp;"–N"&amp;TEXT(INT(X102)+1,"0")))</x:f>
        <x:v>NR</x:v>
      </x:c>
      <x:c r="Z102" s="32"/>
      <x:c r="AA102" s="32"/>
      <x:c r="AB102" s="26" t="str">
        <x:f>IF(M102&gt;=0.75,"Universal / núcleo",IF(M102&gt;=0.5,"Consolidada",IF(M102&gt;=0.25,"Selectiva","Baja prevalencia")))</x:f>
        <x:v>Baja prevalencia</x:v>
      </x:c>
      <x:c r="AC102" s="26" t="str">
        <x:v>No</x:v>
      </x:c>
      <x:c r="AD102" s="26" t="str">
        <x:f>IF(AND(AC102="Sí",L102&gt;=2,M102&lt;0.5,V102&gt;=45),"Emergente en grado",IF(AND(AC102="Sí",L102&lt;=1,Q102&gt;=2),"Emergente desde nivel avanzado",IF(AND(M102&lt;0.25,L102&gt;=1),"Nicho / especialización","")))</x:f>
      </x:c>
      <x:c r="AE102" s="26" t="str">
        <x:v>Alta</x:v>
      </x:c>
      <x:c r="AF102" s="26" t="str">
        <x:v>Práctica e industria</x:v>
      </x:c>
      <x:c r="AG102" s="26" t="str">
        <x:f>IF(AND(AB102="Universal / núcleo",AE102="Alta"),"Muy alta",IF(AND(OR(AD102="Emergente en grado",AD102="Emergente desde nivel avanzado"),AE102="Alta"),"Muy alta",IF(OR(AB102="Universal / núcleo",AB102="Consolidada",AE102="Alta"),"Alta",IF(OR(AD102&lt;&gt;"",AE102="Media"),"Media","Baja"))))</x:f>
        <x:v>Alta</x:v>
      </x:c>
      <x:c r="AH102" s="26" t="str">
        <x:v>Comparar con la malla EPN Agro antes de decidir mantener/reforzar/integrar/añadir.</x:v>
      </x:c>
    </x:row>
    <x:row r="103">
      <x:c r="A103" s="26" t="str">
        <x:v>A15</x:v>
      </x:c>
      <x:c r="B103" s="26" t="str">
        <x:v>Integración Profesional, Proyectos, Prácticas y Titulación</x:v>
      </x:c>
      <x:c r="C103" s="26" t="str">
        <x:v>S49</x:v>
      </x:c>
      <x:c r="D103" s="26" t="str">
        <x:v>Titulación</x:v>
      </x:c>
      <x:c r="E103" s="26" t="str">
        <x:v>F1503</x:v>
      </x:c>
      <x:c r="F103" s="26" t="str">
        <x:v>Trabajo Fin de Grado / Bachelor thesis</x:v>
      </x:c>
      <x:c r="G103" s="26" t="str">
        <x:v>TFG o equivalente de grado.</x:v>
      </x:c>
      <x:c r="H103" s="26" t="n">
        <x:f>COUNTIF('04_Presencia_Curriculos'!D103:X103,"&gt;0")</x:f>
        <x:v>10</x:v>
      </x:c>
      <x:c r="I103" s="32" t="n">
        <x:f>H103/'01_Metodologia'!$F$4</x:f>
        <x:v>0.47619047619047616</x:v>
      </x:c>
      <x:c r="J103" s="26" t="n">
        <x:f>COUNTIF('04_Presencia_Curriculos'!D103:Q103,"&gt;0")</x:f>
        <x:v>10</x:v>
      </x:c>
      <x:c r="K103" s="32" t="n">
        <x:f>J103/'01_Metodologia'!$F$5</x:f>
        <x:v>0.7142857142857143</x:v>
      </x:c>
      <x:c r="L103" s="26" t="n">
        <x:f>COUNTIF('04_Presencia_Curriculos'!D103:P103,"&gt;0")</x:f>
        <x:v>9</x:v>
      </x:c>
      <x:c r="M103" s="32" t="n">
        <x:f>L103/'01_Metodologia'!$F$6</x:f>
        <x:v>0.6923076923076923</x:v>
      </x:c>
      <x:c r="N103" s="26" t="n">
        <x:f>COUNTIF('04_Presencia_Curriculos'!D103:P103,2)</x:f>
        <x:v>9</x:v>
      </x:c>
      <x:c r="O103" s="32" t="n">
        <x:f>N103/'01_Metodologia'!$F$6</x:f>
        <x:v>0.6923076923076923</x:v>
      </x:c>
      <x:c r="P103" s="26" t="n">
        <x:f>COUNTIF('04_Presencia_Curriculos'!D103:P103,1)</x:f>
        <x:v>0</x:v>
      </x:c>
      <x:c r="Q103" s="26" t="n">
        <x:f>COUNTIF('04_Presencia_Curriculos'!R103:X103,"&gt;0")</x:f>
        <x:v>0</x:v>
      </x:c>
      <x:c r="R103" s="32" t="n">
        <x:f>Q103/'01_Metodologia'!$F$7</x:f>
        <x:v>0</x:v>
      </x:c>
      <x:c r="S103" s="36" t="n">
        <x:v>7.583333333333333</x:v>
      </x:c>
      <x:c r="T103" s="32" t="n">
        <x:f>AVERAGE('05_Peso_Creditos_Core'!D103:O103)</x:f>
        <x:v>0.03587962962962962</x:v>
      </x:c>
      <x:c r="U103" s="32" t="n">
        <x:f>MEDIAN('05_Peso_Creditos_Core'!D103:O103)</x:f>
        <x:v>0.04166666666666667</x:v>
      </x:c>
      <x:c r="V103" s="34" t="n">
        <x:f>IF(COUNT('06_Posicion_Core'!D103:P103)=0,"",MEDIAN('06_Posicion_Core'!D103:P103))</x:f>
        <x:v>91.66666666666666</x:v>
      </x:c>
      <x:c r="W103" s="26" t="str">
        <x:f>IF(V103="","NR",IF(V103&lt;=25,"E1 Fundamentos",IF(V103&lt;=50,"E2 Fundamentos de ingeniería",IF(V103&lt;=75,"E3 Formación profesional","E4 Integración/especialización"))))</x:f>
        <x:v>E4 Integración/especialización</x:v>
      </x:c>
      <x:c r="X103" s="26" t="n">
        <x:f>IF(COUNT('07_Profundidad_Core'!D103:P103)=0,"",MEDIAN('07_Profundidad_Core'!D103:P103))</x:f>
        <x:v>3</x:v>
      </x:c>
      <x:c r="Y103" s="26" t="str">
        <x:f>IF(X103="","NR",IF(X103=INT(X103),"N"&amp;TEXT(X103,"0"),"N"&amp;TEXT(INT(X103),"0")&amp;"–N"&amp;TEXT(INT(X103)+1,"0")))</x:f>
        <x:v>N3</x:v>
      </x:c>
      <x:c r="Z103" s="32" t="n">
        <x:v>0</x:v>
      </x:c>
      <x:c r="AA103" s="32" t="n">
        <x:v>0</x:v>
      </x:c>
      <x:c r="AB103" s="26" t="str">
        <x:f>IF(M103&gt;=0.75,"Universal / núcleo",IF(M103&gt;=0.5,"Consolidada",IF(M103&gt;=0.25,"Selectiva","Baja prevalencia")))</x:f>
        <x:v>Consolidada</x:v>
      </x:c>
      <x:c r="AC103" s="26" t="str">
        <x:v>No</x:v>
      </x:c>
      <x:c r="AD103" s="26" t="str">
        <x:f>IF(AND(AC103="Sí",L103&gt;=2,M103&lt;0.5,V103&gt;=45),"Emergente en grado",IF(AND(AC103="Sí",L103&lt;=1,Q103&gt;=2),"Emergente desde nivel avanzado",IF(AND(M103&lt;0.25,L103&gt;=1),"Nicho / especialización","")))</x:f>
      </x:c>
      <x:c r="AE103" s="26" t="str"/>
      <x:c r="AF103" s="26" t="str"/>
      <x:c r="AG103" s="26" t="str">
        <x:f>IF(AND(AB103="Universal / núcleo",AE103="Alta"),"Muy alta",IF(AND(OR(AD103="Emergente en grado",AD103="Emergente desde nivel avanzado"),AE103="Alta"),"Muy alta",IF(OR(AB103="Universal / núcleo",AB103="Consolidada",AE103="Alta"),"Alta",IF(OR(AD103&lt;&gt;"",AE103="Media"),"Media","Baja"))))</x:f>
        <x:v>Alta</x:v>
      </x:c>
      <x:c r="AH103" s="26" t="str">
        <x:v>Comparar con la malla EPN Agro antes de decidir mantener/reforzar/integrar/añadir.</x:v>
      </x:c>
    </x:row>
    <x:row r="104">
      <x:c r="A104" s="26" t="str">
        <x:v>A15</x:v>
      </x:c>
      <x:c r="B104" s="26" t="str">
        <x:v>Integración Profesional, Proyectos, Prácticas y Titulación</x:v>
      </x:c>
      <x:c r="C104" s="26" t="str">
        <x:v>S49</x:v>
      </x:c>
      <x:c r="D104" s="26" t="str">
        <x:v>Titulación</x:v>
      </x:c>
      <x:c r="E104" s="26" t="str">
        <x:v>F1504</x:v>
      </x:c>
      <x:c r="F104" s="26" t="str">
        <x:v>Tesis / mémoire de investigación</x:v>
      </x:c>
      <x:c r="G104" s="26" t="str">
        <x:v>Trabajo investigativo avanzado.</x:v>
      </x:c>
      <x:c r="H104" s="26" t="n">
        <x:f>COUNTIF('04_Presencia_Curriculos'!D104:X104,"&gt;0")</x:f>
        <x:v>0</x:v>
      </x:c>
      <x:c r="I104" s="32" t="n">
        <x:f>H104/'01_Metodologia'!$F$4</x:f>
        <x:v>0</x:v>
      </x:c>
      <x:c r="J104" s="26" t="n">
        <x:f>COUNTIF('04_Presencia_Curriculos'!D104:Q104,"&gt;0")</x:f>
        <x:v>0</x:v>
      </x:c>
      <x:c r="K104" s="32" t="n">
        <x:f>J104/'01_Metodologia'!$F$5</x:f>
        <x:v>0</x:v>
      </x:c>
      <x:c r="L104" s="26" t="n">
        <x:f>COUNTIF('04_Presencia_Curriculos'!D104:P104,"&gt;0")</x:f>
        <x:v>0</x:v>
      </x:c>
      <x:c r="M104" s="32" t="n">
        <x:f>L104/'01_Metodologia'!$F$6</x:f>
        <x:v>0</x:v>
      </x:c>
      <x:c r="N104" s="26" t="n">
        <x:f>COUNTIF('04_Presencia_Curriculos'!D104:P104,2)</x:f>
        <x:v>0</x:v>
      </x:c>
      <x:c r="O104" s="32" t="n">
        <x:f>N104/'01_Metodologia'!$F$6</x:f>
        <x:v>0</x:v>
      </x:c>
      <x:c r="P104" s="26" t="n">
        <x:f>COUNTIF('04_Presencia_Curriculos'!D104:P104,1)</x:f>
        <x:v>0</x:v>
      </x:c>
      <x:c r="Q104" s="26" t="n">
        <x:f>COUNTIF('04_Presencia_Curriculos'!R104:X104,"&gt;0")</x:f>
        <x:v>0</x:v>
      </x:c>
      <x:c r="R104" s="32" t="n">
        <x:f>Q104/'01_Metodologia'!$F$7</x:f>
        <x:v>0</x:v>
      </x:c>
      <x:c r="S104" s="36" t="n">
        <x:v>0</x:v>
      </x:c>
      <x:c r="T104" s="32" t="n">
        <x:f>AVERAGE('05_Peso_Creditos_Core'!D104:O104)</x:f>
        <x:v>0</x:v>
      </x:c>
      <x:c r="U104" s="32" t="n">
        <x:f>MEDIAN('05_Peso_Creditos_Core'!D104:O104)</x:f>
        <x:v>0</x:v>
      </x:c>
      <x:c r="V104" s="34" t="str">
        <x:f>IF(COUNT('06_Posicion_Core'!D104:P104)=0,"",MEDIAN('06_Posicion_Core'!D104:P104))</x:f>
      </x:c>
      <x:c r="W104" s="26" t="str">
        <x:f>IF(V104="","NR",IF(V104&lt;=25,"E1 Fundamentos",IF(V104&lt;=50,"E2 Fundamentos de ingeniería",IF(V104&lt;=75,"E3 Formación profesional","E4 Integración/especialización"))))</x:f>
        <x:v>NR</x:v>
      </x:c>
      <x:c r="X104" s="26" t="str">
        <x:f>IF(COUNT('07_Profundidad_Core'!D104:P104)=0,"",MEDIAN('07_Profundidad_Core'!D104:P104))</x:f>
      </x:c>
      <x:c r="Y104" s="26" t="str">
        <x:f>IF(X104="","NR",IF(X104=INT(X104),"N"&amp;TEXT(X104,"0"),"N"&amp;TEXT(INT(X104),"0")&amp;"–N"&amp;TEXT(INT(X104)+1,"0")))</x:f>
        <x:v>NR</x:v>
      </x:c>
      <x:c r="Z104" s="32"/>
      <x:c r="AA104" s="32"/>
      <x:c r="AB104" s="26" t="str">
        <x:f>IF(M104&gt;=0.75,"Universal / núcleo",IF(M104&gt;=0.5,"Consolidada",IF(M104&gt;=0.25,"Selectiva","Baja prevalencia")))</x:f>
        <x:v>Baja prevalencia</x:v>
      </x:c>
      <x:c r="AC104" s="26" t="str">
        <x:v>No</x:v>
      </x:c>
      <x:c r="AD104" s="26" t="str">
        <x:f>IF(AND(AC104="Sí",L104&gt;=2,M104&lt;0.5,V104&gt;=45),"Emergente en grado",IF(AND(AC104="Sí",L104&lt;=1,Q104&gt;=2),"Emergente desde nivel avanzado",IF(AND(M104&lt;0.25,L104&gt;=1),"Nicho / especialización","")))</x:f>
      </x:c>
      <x:c r="AE104" s="26" t="str"/>
      <x:c r="AF104" s="26" t="str"/>
      <x:c r="AG104" s="26" t="str">
        <x:f>IF(AND(AB104="Universal / núcleo",AE104="Alta"),"Muy alta",IF(AND(OR(AD104="Emergente en grado",AD104="Emergente desde nivel avanzado"),AE104="Alta"),"Muy alta",IF(OR(AB104="Universal / núcleo",AB104="Consolidada",AE104="Alta"),"Alta",IF(OR(AD104&lt;&gt;"",AE104="Media"),"Media","Baja"))))</x:f>
        <x:v>Baja</x:v>
      </x:c>
      <x:c r="AH104" s="26" t="str">
        <x:v>Comparar con la malla EPN Agro antes de decidir mantener/reforzar/integrar/añadir.</x:v>
      </x:c>
    </x:row>
    <x:row r="105">
      <x:c r="A105" s="26" t="str">
        <x:v>A15</x:v>
      </x:c>
      <x:c r="B105" s="26" t="str">
        <x:v>Integración Profesional, Proyectos, Prácticas y Titulación</x:v>
      </x:c>
      <x:c r="C105" s="26" t="str">
        <x:v>S50</x:v>
      </x:c>
      <x:c r="D105" s="26" t="str">
        <x:v>Prácticas</x:v>
      </x:c>
      <x:c r="E105" s="26" t="str">
        <x:v>F1505</x:v>
      </x:c>
      <x:c r="F105" s="26" t="str">
        <x:v>Práctica externa / internship / stage</x:v>
      </x:c>
      <x:c r="G105" s="26" t="str">
        <x:v>Experiencia profesional externa no final.</x:v>
      </x:c>
      <x:c r="H105" s="26" t="n">
        <x:f>COUNTIF('04_Presencia_Curriculos'!D105:X105,"&gt;0")</x:f>
        <x:v>14</x:v>
      </x:c>
      <x:c r="I105" s="32" t="n">
        <x:f>H105/'01_Metodologia'!$F$4</x:f>
        <x:v>0.6666666666666666</x:v>
      </x:c>
      <x:c r="J105" s="26" t="n">
        <x:f>COUNTIF('04_Presencia_Curriculos'!D105:Q105,"&gt;0")</x:f>
        <x:v>9</x:v>
      </x:c>
      <x:c r="K105" s="32" t="n">
        <x:f>J105/'01_Metodologia'!$F$5</x:f>
        <x:v>0.6428571428571429</x:v>
      </x:c>
      <x:c r="L105" s="26" t="n">
        <x:f>COUNTIF('04_Presencia_Curriculos'!D105:P105,"&gt;0")</x:f>
        <x:v>8</x:v>
      </x:c>
      <x:c r="M105" s="32" t="n">
        <x:f>L105/'01_Metodologia'!$F$6</x:f>
        <x:v>0.6153846153846154</x:v>
      </x:c>
      <x:c r="N105" s="26" t="n">
        <x:f>COUNTIF('04_Presencia_Curriculos'!D105:P105,2)</x:f>
        <x:v>7</x:v>
      </x:c>
      <x:c r="O105" s="32" t="n">
        <x:f>N105/'01_Metodologia'!$F$6</x:f>
        <x:v>0.5384615384615384</x:v>
      </x:c>
      <x:c r="P105" s="26" t="n">
        <x:f>COUNTIF('04_Presencia_Curriculos'!D105:P105,1)</x:f>
        <x:v>1</x:v>
      </x:c>
      <x:c r="Q105" s="26" t="n">
        <x:f>COUNTIF('04_Presencia_Curriculos'!R105:X105,"&gt;0")</x:f>
        <x:v>5</x:v>
      </x:c>
      <x:c r="R105" s="32" t="n">
        <x:f>Q105/'01_Metodologia'!$F$7</x:f>
        <x:v>0.7142857142857143</x:v>
      </x:c>
      <x:c r="S105" s="36" t="n">
        <x:v>4.916666666666667</x:v>
      </x:c>
      <x:c r="T105" s="32" t="n">
        <x:f>AVERAGE('05_Peso_Creditos_Core'!D105:O105)</x:f>
        <x:v>0.027314814814814816</x:v>
      </x:c>
      <x:c r="U105" s="32" t="n">
        <x:f>MEDIAN('05_Peso_Creditos_Core'!D105:O105)</x:f>
        <x:v>0.030555555555555555</x:v>
      </x:c>
      <x:c r="V105" s="34" t="n">
        <x:f>IF(COUNT('06_Posicion_Core'!D105:P105)=0,"",MEDIAN('06_Posicion_Core'!D105:P105))</x:f>
        <x:v>91.66666666666666</x:v>
      </x:c>
      <x:c r="W105" s="26" t="str">
        <x:f>IF(V105="","NR",IF(V105&lt;=25,"E1 Fundamentos",IF(V105&lt;=50,"E2 Fundamentos de ingeniería",IF(V105&lt;=75,"E3 Formación profesional","E4 Integración/especialización"))))</x:f>
        <x:v>E4 Integración/especialización</x:v>
      </x:c>
      <x:c r="X105" s="26" t="str">
        <x:f>IF(COUNT('07_Profundidad_Core'!D105:P105)=0,"",MEDIAN('07_Profundidad_Core'!D105:P105))</x:f>
      </x:c>
      <x:c r="Y105" s="26" t="str">
        <x:f>IF(X105="","NR",IF(X105=INT(X105),"N"&amp;TEXT(X105,"0"),"N"&amp;TEXT(INT(X105),"0")&amp;"–N"&amp;TEXT(INT(X105)+1,"0")))</x:f>
        <x:v>NR</x:v>
      </x:c>
      <x:c r="Z105" s="32" t="n">
        <x:v>0</x:v>
      </x:c>
      <x:c r="AA105" s="32" t="n">
        <x:v>0</x:v>
      </x:c>
      <x:c r="AB105" s="26" t="str">
        <x:f>IF(M105&gt;=0.75,"Universal / núcleo",IF(M105&gt;=0.5,"Consolidada",IF(M105&gt;=0.25,"Selectiva","Baja prevalencia")))</x:f>
        <x:v>Consolidada</x:v>
      </x:c>
      <x:c r="AC105" s="26" t="str">
        <x:v>No</x:v>
      </x:c>
      <x:c r="AD105" s="26" t="str">
        <x:f>IF(AND(AC105="Sí",L105&gt;=2,M105&lt;0.5,V105&gt;=45),"Emergente en grado",IF(AND(AC105="Sí",L105&lt;=1,Q105&gt;=2),"Emergente desde nivel avanzado",IF(AND(M105&lt;0.25,L105&gt;=1),"Nicho / especialización","")))</x:f>
      </x:c>
      <x:c r="AE105" s="26" t="str">
        <x:v>Alta</x:v>
      </x:c>
      <x:c r="AF105" s="26" t="str">
        <x:v>Práctica e industria</x:v>
      </x:c>
      <x:c r="AG105" s="26" t="str">
        <x:f>IF(AND(AB105="Universal / núcleo",AE105="Alta"),"Muy alta",IF(AND(OR(AD105="Emergente en grado",AD105="Emergente desde nivel avanzado"),AE105="Alta"),"Muy alta",IF(OR(AB105="Universal / núcleo",AB105="Consolidada",AE105="Alta"),"Alta",IF(OR(AD105&lt;&gt;"",AE105="Media"),"Media","Baja"))))</x:f>
        <x:v>Alta</x:v>
      </x:c>
      <x:c r="AH105" s="26" t="str">
        <x:v>Comparar con la malla EPN Agro antes de decidir mantener/reforzar/integrar/añadir.</x:v>
      </x:c>
    </x:row>
    <x:row r="106">
      <x:c r="A106" s="26" t="str">
        <x:v>A15</x:v>
      </x:c>
      <x:c r="B106" s="26" t="str">
        <x:v>Integración Profesional, Proyectos, Prácticas y Titulación</x:v>
      </x:c>
      <x:c r="C106" s="26" t="str">
        <x:v>S50</x:v>
      </x:c>
      <x:c r="D106" s="26" t="str">
        <x:v>Prácticas</x:v>
      </x:c>
      <x:c r="E106" s="26" t="str">
        <x:v>F1506</x:v>
      </x:c>
      <x:c r="F106" s="26" t="str">
        <x:v>Stage final / misión de ingeniero</x:v>
      </x:c>
      <x:c r="G106" s="26" t="str">
        <x:v>Práctica final extensa de ciclo ingénieur.</x:v>
      </x:c>
      <x:c r="H106" s="26" t="n">
        <x:f>COUNTIF('04_Presencia_Curriculos'!D106:X106,"&gt;0")</x:f>
        <x:v>4</x:v>
      </x:c>
      <x:c r="I106" s="32" t="n">
        <x:f>H106/'01_Metodologia'!$F$4</x:f>
        <x:v>0.19047619047619047</x:v>
      </x:c>
      <x:c r="J106" s="26" t="n">
        <x:f>COUNTIF('04_Presencia_Curriculos'!D106:Q106,"&gt;0")</x:f>
        <x:v>0</x:v>
      </x:c>
      <x:c r="K106" s="32" t="n">
        <x:f>J106/'01_Metodologia'!$F$5</x:f>
        <x:v>0</x:v>
      </x:c>
      <x:c r="L106" s="26" t="n">
        <x:f>COUNTIF('04_Presencia_Curriculos'!D106:P106,"&gt;0")</x:f>
        <x:v>0</x:v>
      </x:c>
      <x:c r="M106" s="32" t="n">
        <x:f>L106/'01_Metodologia'!$F$6</x:f>
        <x:v>0</x:v>
      </x:c>
      <x:c r="N106" s="26" t="n">
        <x:f>COUNTIF('04_Presencia_Curriculos'!D106:P106,2)</x:f>
        <x:v>0</x:v>
      </x:c>
      <x:c r="O106" s="32" t="n">
        <x:f>N106/'01_Metodologia'!$F$6</x:f>
        <x:v>0</x:v>
      </x:c>
      <x:c r="P106" s="26" t="n">
        <x:f>COUNTIF('04_Presencia_Curriculos'!D106:P106,1)</x:f>
        <x:v>0</x:v>
      </x:c>
      <x:c r="Q106" s="26" t="n">
        <x:f>COUNTIF('04_Presencia_Curriculos'!R106:X106,"&gt;0")</x:f>
        <x:v>4</x:v>
      </x:c>
      <x:c r="R106" s="32" t="n">
        <x:f>Q106/'01_Metodologia'!$F$7</x:f>
        <x:v>0.5714285714285714</x:v>
      </x:c>
      <x:c r="S106" s="36" t="n">
        <x:v>0</x:v>
      </x:c>
      <x:c r="T106" s="32" t="n">
        <x:f>AVERAGE('05_Peso_Creditos_Core'!D106:O106)</x:f>
        <x:v>0</x:v>
      </x:c>
      <x:c r="U106" s="32" t="n">
        <x:f>MEDIAN('05_Peso_Creditos_Core'!D106:O106)</x:f>
        <x:v>0</x:v>
      </x:c>
      <x:c r="V106" s="34" t="str">
        <x:f>IF(COUNT('06_Posicion_Core'!D106:P106)=0,"",MEDIAN('06_Posicion_Core'!D106:P106))</x:f>
      </x:c>
      <x:c r="W106" s="26" t="str">
        <x:f>IF(V106="","NR",IF(V106&lt;=25,"E1 Fundamentos",IF(V106&lt;=50,"E2 Fundamentos de ingeniería",IF(V106&lt;=75,"E3 Formación profesional","E4 Integración/especialización"))))</x:f>
        <x:v>NR</x:v>
      </x:c>
      <x:c r="X106" s="26" t="str">
        <x:f>IF(COUNT('07_Profundidad_Core'!D106:P106)=0,"",MEDIAN('07_Profundidad_Core'!D106:P106))</x:f>
      </x:c>
      <x:c r="Y106" s="26" t="str">
        <x:f>IF(X106="","NR",IF(X106=INT(X106),"N"&amp;TEXT(X106,"0"),"N"&amp;TEXT(INT(X106),"0")&amp;"–N"&amp;TEXT(INT(X106)+1,"0")))</x:f>
        <x:v>NR</x:v>
      </x:c>
      <x:c r="Z106" s="32"/>
      <x:c r="AA106" s="32"/>
      <x:c r="AB106" s="26" t="str">
        <x:f>IF(M106&gt;=0.75,"Universal / núcleo",IF(M106&gt;=0.5,"Consolidada",IF(M106&gt;=0.25,"Selectiva","Baja prevalencia")))</x:f>
        <x:v>Baja prevalencia</x:v>
      </x:c>
      <x:c r="AC106" s="26" t="str">
        <x:v>No</x:v>
      </x:c>
      <x:c r="AD106" s="26" t="str">
        <x:f>IF(AND(AC106="Sí",L106&gt;=2,M106&lt;0.5,V106&gt;=45),"Emergente en grado",IF(AND(AC106="Sí",L106&lt;=1,Q106&gt;=2),"Emergente desde nivel avanzado",IF(AND(M106&lt;0.25,L106&gt;=1),"Nicho / especialización","")))</x:f>
      </x:c>
      <x:c r="AE106" s="26" t="str"/>
      <x:c r="AF106" s="26" t="str"/>
      <x:c r="AG106" s="26" t="str">
        <x:f>IF(AND(AB106="Universal / núcleo",AE106="Alta"),"Muy alta",IF(AND(OR(AD106="Emergente en grado",AD106="Emergente desde nivel avanzado"),AE106="Alta"),"Muy alta",IF(OR(AB106="Universal / núcleo",AB106="Consolidada",AE106="Alta"),"Alta",IF(OR(AD106&lt;&gt;"",AE106="Media"),"Media","Baja"))))</x:f>
        <x:v>Baja</x:v>
      </x:c>
      <x:c r="AH106" s="26" t="str">
        <x:v>Comparar con la malla EPN Agro antes de decidir mantener/reforzar/integrar/añadir.</x:v>
      </x:c>
    </x:row>
    <x:row r="107">
      <x:c r="A107" s="26" t="str">
        <x:v>A15</x:v>
      </x:c>
      <x:c r="B107" s="26" t="str">
        <x:v>Integración Profesional, Proyectos, Prácticas y Titulación</x:v>
      </x:c>
      <x:c r="C107" s="26" t="str">
        <x:v>S51</x:v>
      </x:c>
      <x:c r="D107" s="26" t="str">
        <x:v>Talleres</x:v>
      </x:c>
      <x:c r="E107" s="26" t="str">
        <x:v>F1507</x:v>
      </x:c>
      <x:c r="F107" s="26" t="str">
        <x:v>Taller / laboratorio integrador / proyecto práctico</x:v>
      </x:c>
      <x:c r="G107" s="26" t="str">
        <x:v>Experiencia integradora práctica.</x:v>
      </x:c>
      <x:c r="H107" s="26" t="n">
        <x:f>COUNTIF('04_Presencia_Curriculos'!D107:X107,"&gt;0")</x:f>
        <x:v>6</x:v>
      </x:c>
      <x:c r="I107" s="32" t="n">
        <x:f>H107/'01_Metodologia'!$F$4</x:f>
        <x:v>0.2857142857142857</x:v>
      </x:c>
      <x:c r="J107" s="26" t="n">
        <x:f>COUNTIF('04_Presencia_Curriculos'!D107:Q107,"&gt;0")</x:f>
        <x:v>4</x:v>
      </x:c>
      <x:c r="K107" s="32" t="n">
        <x:f>J107/'01_Metodologia'!$F$5</x:f>
        <x:v>0.2857142857142857</x:v>
      </x:c>
      <x:c r="L107" s="26" t="n">
        <x:f>COUNTIF('04_Presencia_Curriculos'!D107:P107,"&gt;0")</x:f>
        <x:v>4</x:v>
      </x:c>
      <x:c r="M107" s="32" t="n">
        <x:f>L107/'01_Metodologia'!$F$6</x:f>
        <x:v>0.3076923076923077</x:v>
      </x:c>
      <x:c r="N107" s="26" t="n">
        <x:f>COUNTIF('04_Presencia_Curriculos'!D107:P107,2)</x:f>
        <x:v>4</x:v>
      </x:c>
      <x:c r="O107" s="32" t="n">
        <x:f>N107/'01_Metodologia'!$F$6</x:f>
        <x:v>0.3076923076923077</x:v>
      </x:c>
      <x:c r="P107" s="26" t="n">
        <x:f>COUNTIF('04_Presencia_Curriculos'!D107:P107,1)</x:f>
        <x:v>0</x:v>
      </x:c>
      <x:c r="Q107" s="26" t="n">
        <x:f>COUNTIF('04_Presencia_Curriculos'!R107:X107,"&gt;0")</x:f>
        <x:v>2</x:v>
      </x:c>
      <x:c r="R107" s="32" t="n">
        <x:f>Q107/'01_Metodologia'!$F$7</x:f>
        <x:v>0.2857142857142857</x:v>
      </x:c>
      <x:c r="S107" s="36" t="n">
        <x:v>2.0833333333333335</x:v>
      </x:c>
      <x:c r="T107" s="32" t="n">
        <x:f>AVERAGE('05_Peso_Creditos_Core'!D107:O107)</x:f>
        <x:v>0.010532407407407407</x:v>
      </x:c>
      <x:c r="U107" s="32" t="n">
        <x:f>MEDIAN('05_Peso_Creditos_Core'!D107:O107)</x:f>
        <x:v>0</x:v>
      </x:c>
      <x:c r="V107" s="34" t="n">
        <x:f>IF(COUNT('06_Posicion_Core'!D107:P107)=0,"",MEDIAN('06_Posicion_Core'!D107:P107))</x:f>
        <x:v>50</x:v>
      </x:c>
      <x:c r="W107" s="26" t="str">
        <x:f>IF(V107="","NR",IF(V107&lt;=25,"E1 Fundamentos",IF(V107&lt;=50,"E2 Fundamentos de ingeniería",IF(V107&lt;=75,"E3 Formación profesional","E4 Integración/especialización"))))</x:f>
        <x:v>E2 Fundamentos de ingeniería</x:v>
      </x:c>
      <x:c r="X107" s="26" t="str">
        <x:f>IF(COUNT('07_Profundidad_Core'!D107:P107)=0,"",MEDIAN('07_Profundidad_Core'!D107:P107))</x:f>
      </x:c>
      <x:c r="Y107" s="26" t="str">
        <x:f>IF(X107="","NR",IF(X107=INT(X107),"N"&amp;TEXT(X107,"0"),"N"&amp;TEXT(INT(X107),"0")&amp;"–N"&amp;TEXT(INT(X107)+1,"0")))</x:f>
        <x:v>NR</x:v>
      </x:c>
      <x:c r="Z107" s="32" t="n">
        <x:v>1</x:v>
      </x:c>
      <x:c r="AA107" s="32" t="n">
        <x:v>0</x:v>
      </x:c>
      <x:c r="AB107" s="26" t="str">
        <x:f>IF(M107&gt;=0.75,"Universal / núcleo",IF(M107&gt;=0.5,"Consolidada",IF(M107&gt;=0.25,"Selectiva","Baja prevalencia")))</x:f>
        <x:v>Selectiva</x:v>
      </x:c>
      <x:c r="AC107" s="26" t="str">
        <x:v>No</x:v>
      </x:c>
      <x:c r="AD107" s="26" t="str">
        <x:f>IF(AND(AC107="Sí",L107&gt;=2,M107&lt;0.5,V107&gt;=45),"Emergente en grado",IF(AND(AC107="Sí",L107&lt;=1,Q107&gt;=2),"Emergente desde nivel avanzado",IF(AND(M107&lt;0.25,L107&gt;=1),"Nicho / especialización","")))</x:f>
      </x:c>
      <x:c r="AE107" s="26" t="str">
        <x:v>Alta</x:v>
      </x:c>
      <x:c r="AF107" s="26" t="str">
        <x:v>Práctica e industria</x:v>
      </x:c>
      <x:c r="AG107" s="26" t="str">
        <x:f>IF(AND(AB107="Universal / núcleo",AE107="Alta"),"Muy alta",IF(AND(OR(AD107="Emergente en grado",AD107="Emergente desde nivel avanzado"),AE107="Alta"),"Muy alta",IF(OR(AB107="Universal / núcleo",AB107="Consolidada",AE107="Alta"),"Alta",IF(OR(AD107&lt;&gt;"",AE107="Media"),"Media","Baja"))))</x:f>
        <x:v>Alta</x:v>
      </x:c>
      <x:c r="AH107" s="26" t="str">
        <x:v>Comparar con la malla EPN Agro antes de decidir mantener/reforzar/integrar/añadir.</x:v>
      </x:c>
    </x:row>
    <x:row r="108">
      <x:c r="A108" s="26" t="str">
        <x:v>A15</x:v>
      </x:c>
      <x:c r="B108" s="26" t="str">
        <x:v>Integración Profesional, Proyectos, Prácticas y Titulación</x:v>
      </x:c>
      <x:c r="C108" s="26" t="str">
        <x:v>S52</x:v>
      </x:c>
      <x:c r="D108" s="26" t="str">
        <x:v>Internacionalización</x:v>
      </x:c>
      <x:c r="E108" s="26" t="str">
        <x:v>F1508</x:v>
      </x:c>
      <x:c r="F108" s="26" t="str">
        <x:v>Movilidad y experiencia internacional</x:v>
      </x:c>
      <x:c r="G108" s="26" t="str">
        <x:v>Movilidad académica/profesional internacional.</x:v>
      </x:c>
      <x:c r="H108" s="26" t="n">
        <x:f>COUNTIF('04_Presencia_Curriculos'!D108:X108,"&gt;0")</x:f>
        <x:v>3</x:v>
      </x:c>
      <x:c r="I108" s="32" t="n">
        <x:f>H108/'01_Metodologia'!$F$4</x:f>
        <x:v>0.14285714285714285</x:v>
      </x:c>
      <x:c r="J108" s="26" t="n">
        <x:f>COUNTIF('04_Presencia_Curriculos'!D108:Q108,"&gt;0")</x:f>
        <x:v>0</x:v>
      </x:c>
      <x:c r="K108" s="32" t="n">
        <x:f>J108/'01_Metodologia'!$F$5</x:f>
        <x:v>0</x:v>
      </x:c>
      <x:c r="L108" s="26" t="n">
        <x:f>COUNTIF('04_Presencia_Curriculos'!D108:P108,"&gt;0")</x:f>
        <x:v>0</x:v>
      </x:c>
      <x:c r="M108" s="32" t="n">
        <x:f>L108/'01_Metodologia'!$F$6</x:f>
        <x:v>0</x:v>
      </x:c>
      <x:c r="N108" s="26" t="n">
        <x:f>COUNTIF('04_Presencia_Curriculos'!D108:P108,2)</x:f>
        <x:v>0</x:v>
      </x:c>
      <x:c r="O108" s="32" t="n">
        <x:f>N108/'01_Metodologia'!$F$6</x:f>
        <x:v>0</x:v>
      </x:c>
      <x:c r="P108" s="26" t="n">
        <x:f>COUNTIF('04_Presencia_Curriculos'!D108:P108,1)</x:f>
        <x:v>0</x:v>
      </x:c>
      <x:c r="Q108" s="26" t="n">
        <x:f>COUNTIF('04_Presencia_Curriculos'!R108:X108,"&gt;0")</x:f>
        <x:v>3</x:v>
      </x:c>
      <x:c r="R108" s="32" t="n">
        <x:f>Q108/'01_Metodologia'!$F$7</x:f>
        <x:v>0.42857142857142855</x:v>
      </x:c>
      <x:c r="S108" s="36" t="n">
        <x:v>0</x:v>
      </x:c>
      <x:c r="T108" s="32" t="n">
        <x:f>AVERAGE('05_Peso_Creditos_Core'!D108:O108)</x:f>
        <x:v>0</x:v>
      </x:c>
      <x:c r="U108" s="32" t="n">
        <x:f>MEDIAN('05_Peso_Creditos_Core'!D108:O108)</x:f>
        <x:v>0</x:v>
      </x:c>
      <x:c r="V108" s="34" t="str">
        <x:f>IF(COUNT('06_Posicion_Core'!D108:P108)=0,"",MEDIAN('06_Posicion_Core'!D108:P108))</x:f>
      </x:c>
      <x:c r="W108" s="26" t="str">
        <x:f>IF(V108="","NR",IF(V108&lt;=25,"E1 Fundamentos",IF(V108&lt;=50,"E2 Fundamentos de ingeniería",IF(V108&lt;=75,"E3 Formación profesional","E4 Integración/especialización"))))</x:f>
        <x:v>NR</x:v>
      </x:c>
      <x:c r="X108" s="26" t="str">
        <x:f>IF(COUNT('07_Profundidad_Core'!D108:P108)=0,"",MEDIAN('07_Profundidad_Core'!D108:P108))</x:f>
      </x:c>
      <x:c r="Y108" s="26" t="str">
        <x:f>IF(X108="","NR",IF(X108=INT(X108),"N"&amp;TEXT(X108,"0"),"N"&amp;TEXT(INT(X108),"0")&amp;"–N"&amp;TEXT(INT(X108)+1,"0")))</x:f>
        <x:v>NR</x:v>
      </x:c>
      <x:c r="Z108" s="32"/>
      <x:c r="AA108" s="32"/>
      <x:c r="AB108" s="26" t="str">
        <x:f>IF(M108&gt;=0.75,"Universal / núcleo",IF(M108&gt;=0.5,"Consolidada",IF(M108&gt;=0.25,"Selectiva","Baja prevalencia")))</x:f>
        <x:v>Baja prevalencia</x:v>
      </x:c>
      <x:c r="AC108" s="26" t="str">
        <x:v>No</x:v>
      </x:c>
      <x:c r="AD108" s="26" t="str">
        <x:f>IF(AND(AC108="Sí",L108&gt;=2,M108&lt;0.5,V108&gt;=45),"Emergente en grado",IF(AND(AC108="Sí",L108&lt;=1,Q108&gt;=2),"Emergente desde nivel avanzado",IF(AND(M108&lt;0.25,L108&gt;=1),"Nicho / especialización","")))</x:f>
      </x:c>
      <x:c r="AE108" s="26" t="str"/>
      <x:c r="AF108" s="26" t="str"/>
      <x:c r="AG108" s="26" t="str">
        <x:f>IF(AND(AB108="Universal / núcleo",AE108="Alta"),"Muy alta",IF(AND(OR(AD108="Emergente en grado",AD108="Emergente desde nivel avanzado"),AE108="Alta"),"Muy alta",IF(OR(AB108="Universal / núcleo",AB108="Consolidada",AE108="Alta"),"Alta",IF(OR(AD108&lt;&gt;"",AE108="Media"),"Media","Baja"))))</x:f>
        <x:v>Baja</x:v>
      </x:c>
      <x:c r="AH108" s="26" t="str">
        <x:v>Comparar con la malla EPN Agro antes de decidir mantener/reforzar/integrar/añadir.</x:v>
      </x:c>
    </x:row>
    <x:row r="109">
      <x:c r="A109" s="26" t="str">
        <x:v>A16</x:v>
      </x:c>
      <x:c r="B109" s="26" t="str">
        <x:v>Comunicación, Idiomas, Ética y Formación Transversal</x:v>
      </x:c>
      <x:c r="C109" s="26" t="str">
        <x:v>S53</x:v>
      </x:c>
      <x:c r="D109" s="26" t="str">
        <x:v>Idiomas y comunicación</x:v>
      </x:c>
      <x:c r="E109" s="26" t="str">
        <x:v>F1601</x:v>
      </x:c>
      <x:c r="F109" s="26" t="str">
        <x:v>Idioma extranjero</x:v>
      </x:c>
      <x:c r="G109" s="26" t="str">
        <x:v>Idioma extranjero.</x:v>
      </x:c>
      <x:c r="H109" s="26" t="n">
        <x:f>COUNTIF('04_Presencia_Curriculos'!D109:X109,"&gt;0")</x:f>
        <x:v>6</x:v>
      </x:c>
      <x:c r="I109" s="32" t="n">
        <x:f>H109/'01_Metodologia'!$F$4</x:f>
        <x:v>0.2857142857142857</x:v>
      </x:c>
      <x:c r="J109" s="26" t="n">
        <x:f>COUNTIF('04_Presencia_Curriculos'!D109:Q109,"&gt;0")</x:f>
        <x:v>4</x:v>
      </x:c>
      <x:c r="K109" s="32" t="n">
        <x:f>J109/'01_Metodologia'!$F$5</x:f>
        <x:v>0.2857142857142857</x:v>
      </x:c>
      <x:c r="L109" s="26" t="n">
        <x:f>COUNTIF('04_Presencia_Curriculos'!D109:P109,"&gt;0")</x:f>
        <x:v>4</x:v>
      </x:c>
      <x:c r="M109" s="32" t="n">
        <x:f>L109/'01_Metodologia'!$F$6</x:f>
        <x:v>0.3076923076923077</x:v>
      </x:c>
      <x:c r="N109" s="26" t="n">
        <x:f>COUNTIF('04_Presencia_Curriculos'!D109:P109,2)</x:f>
        <x:v>3</x:v>
      </x:c>
      <x:c r="O109" s="32" t="n">
        <x:f>N109/'01_Metodologia'!$F$6</x:f>
        <x:v>0.23076923076923078</x:v>
      </x:c>
      <x:c r="P109" s="26" t="n">
        <x:f>COUNTIF('04_Presencia_Curriculos'!D109:P109,1)</x:f>
        <x:v>1</x:v>
      </x:c>
      <x:c r="Q109" s="26" t="n">
        <x:f>COUNTIF('04_Presencia_Curriculos'!R109:X109,"&gt;0")</x:f>
        <x:v>2</x:v>
      </x:c>
      <x:c r="R109" s="32" t="n">
        <x:f>Q109/'01_Metodologia'!$F$7</x:f>
        <x:v>0.2857142857142857</x:v>
      </x:c>
      <x:c r="S109" s="36" t="n">
        <x:v>1</x:v>
      </x:c>
      <x:c r="T109" s="32" t="n">
        <x:f>AVERAGE('05_Peso_Creditos_Core'!D109:O109)</x:f>
        <x:v>0.005555555555555556</x:v>
      </x:c>
      <x:c r="U109" s="32" t="n">
        <x:f>MEDIAN('05_Peso_Creditos_Core'!D109:O109)</x:f>
        <x:v>0</x:v>
      </x:c>
      <x:c r="V109" s="34" t="n">
        <x:f>IF(COUNT('06_Posicion_Core'!D109:P109)=0,"",MEDIAN('06_Posicion_Core'!D109:P109))</x:f>
        <x:v>33.333333333333336</x:v>
      </x:c>
      <x:c r="W109" s="26" t="str">
        <x:f>IF(V109="","NR",IF(V109&lt;=25,"E1 Fundamentos",IF(V109&lt;=50,"E2 Fundamentos de ingeniería",IF(V109&lt;=75,"E3 Formación profesional","E4 Integración/especialización"))))</x:f>
        <x:v>E2 Fundamentos de ingeniería</x:v>
      </x:c>
      <x:c r="X109" s="26" t="str">
        <x:f>IF(COUNT('07_Profundidad_Core'!D109:P109)=0,"",MEDIAN('07_Profundidad_Core'!D109:P109))</x:f>
      </x:c>
      <x:c r="Y109" s="26" t="str">
        <x:f>IF(X109="","NR",IF(X109=INT(X109),"N"&amp;TEXT(X109,"0"),"N"&amp;TEXT(INT(X109),"0")&amp;"–N"&amp;TEXT(INT(X109)+1,"0")))</x:f>
        <x:v>NR</x:v>
      </x:c>
      <x:c r="Z109" s="32" t="n">
        <x:v>0</x:v>
      </x:c>
      <x:c r="AA109" s="32" t="n">
        <x:v>0</x:v>
      </x:c>
      <x:c r="AB109" s="26" t="str">
        <x:f>IF(M109&gt;=0.75,"Universal / núcleo",IF(M109&gt;=0.5,"Consolidada",IF(M109&gt;=0.25,"Selectiva","Baja prevalencia")))</x:f>
        <x:v>Selectiva</x:v>
      </x:c>
      <x:c r="AC109" s="26" t="str">
        <x:v>No</x:v>
      </x:c>
      <x:c r="AD109" s="26" t="str">
        <x:f>IF(AND(AC109="Sí",L109&gt;=2,M109&lt;0.5,V109&gt;=45),"Emergente en grado",IF(AND(AC109="Sí",L109&lt;=1,Q109&gt;=2),"Emergente desde nivel avanzado",IF(AND(M109&lt;0.25,L109&gt;=1),"Nicho / especialización","")))</x:f>
      </x:c>
      <x:c r="AE109" s="26" t="str">
        <x:v>Alta</x:v>
      </x:c>
      <x:c r="AF109" s="26" t="str">
        <x:v>Comunicación, liderazgo e inglés</x:v>
      </x:c>
      <x:c r="AG109" s="26" t="str">
        <x:f>IF(AND(AB109="Universal / núcleo",AE109="Alta"),"Muy alta",IF(AND(OR(AD109="Emergente en grado",AD109="Emergente desde nivel avanzado"),AE109="Alta"),"Muy alta",IF(OR(AB109="Universal / núcleo",AB109="Consolidada",AE109="Alta"),"Alta",IF(OR(AD109&lt;&gt;"",AE109="Media"),"Media","Baja"))))</x:f>
        <x:v>Alta</x:v>
      </x:c>
      <x:c r="AH109" s="26" t="str">
        <x:v>Comparar con la malla EPN Agro antes de decidir mantener/reforzar/integrar/añadir.</x:v>
      </x:c>
    </x:row>
    <x:row r="110">
      <x:c r="A110" s="26" t="str">
        <x:v>A16</x:v>
      </x:c>
      <x:c r="B110" s="26" t="str">
        <x:v>Comunicación, Idiomas, Ética y Formación Transversal</x:v>
      </x:c>
      <x:c r="C110" s="26" t="str">
        <x:v>S53</x:v>
      </x:c>
      <x:c r="D110" s="26" t="str">
        <x:v>Idiomas y comunicación</x:v>
      </x:c>
      <x:c r="E110" s="26" t="str">
        <x:v>F1602</x:v>
      </x:c>
      <x:c r="F110" s="26" t="str">
        <x:v>Comunicación académica y profesional</x:v>
      </x:c>
      <x:c r="G110" s="26" t="str">
        <x:v>Comunicación oral/escrita y escritura técnica.</x:v>
      </x:c>
      <x:c r="H110" s="26" t="n">
        <x:f>COUNTIF('04_Presencia_Curriculos'!D110:X110,"&gt;0")</x:f>
        <x:v>1</x:v>
      </x:c>
      <x:c r="I110" s="32" t="n">
        <x:f>H110/'01_Metodologia'!$F$4</x:f>
        <x:v>0.047619047619047616</x:v>
      </x:c>
      <x:c r="J110" s="26" t="n">
        <x:f>COUNTIF('04_Presencia_Curriculos'!D110:Q110,"&gt;0")</x:f>
        <x:v>1</x:v>
      </x:c>
      <x:c r="K110" s="32" t="n">
        <x:f>J110/'01_Metodologia'!$F$5</x:f>
        <x:v>0.07142857142857142</x:v>
      </x:c>
      <x:c r="L110" s="26" t="n">
        <x:f>COUNTIF('04_Presencia_Curriculos'!D110:P110,"&gt;0")</x:f>
        <x:v>1</x:v>
      </x:c>
      <x:c r="M110" s="32" t="n">
        <x:f>L110/'01_Metodologia'!$F$6</x:f>
        <x:v>0.07692307692307693</x:v>
      </x:c>
      <x:c r="N110" s="26" t="n">
        <x:f>COUNTIF('04_Presencia_Curriculos'!D110:P110,2)</x:f>
        <x:v>1</x:v>
      </x:c>
      <x:c r="O110" s="32" t="n">
        <x:f>N110/'01_Metodologia'!$F$6</x:f>
        <x:v>0.07692307692307693</x:v>
      </x:c>
      <x:c r="P110" s="26" t="n">
        <x:f>COUNTIF('04_Presencia_Curriculos'!D110:P110,1)</x:f>
        <x:v>0</x:v>
      </x:c>
      <x:c r="Q110" s="26" t="n">
        <x:f>COUNTIF('04_Presencia_Curriculos'!R110:X110,"&gt;0")</x:f>
        <x:v>0</x:v>
      </x:c>
      <x:c r="R110" s="32" t="n">
        <x:f>Q110/'01_Metodologia'!$F$7</x:f>
        <x:v>0</x:v>
      </x:c>
      <x:c r="S110" s="36" t="n">
        <x:v>0.5</x:v>
      </x:c>
      <x:c r="T110" s="32" t="n">
        <x:f>AVERAGE('05_Peso_Creditos_Core'!D110:O110)</x:f>
        <x:v>0.0020833333333333333</x:v>
      </x:c>
      <x:c r="U110" s="32" t="n">
        <x:f>MEDIAN('05_Peso_Creditos_Core'!D110:O110)</x:f>
        <x:v>0</x:v>
      </x:c>
      <x:c r="V110" s="34" t="n">
        <x:f>IF(COUNT('06_Posicion_Core'!D110:P110)=0,"",MEDIAN('06_Posicion_Core'!D110:P110))</x:f>
        <x:v>81.25</x:v>
      </x:c>
      <x:c r="W110" s="26" t="str">
        <x:f>IF(V110="","NR",IF(V110&lt;=25,"E1 Fundamentos",IF(V110&lt;=50,"E2 Fundamentos de ingeniería",IF(V110&lt;=75,"E3 Formación profesional","E4 Integración/especialización"))))</x:f>
        <x:v>E4 Integración/especialización</x:v>
      </x:c>
      <x:c r="X110" s="26" t="str">
        <x:f>IF(COUNT('07_Profundidad_Core'!D110:P110)=0,"",MEDIAN('07_Profundidad_Core'!D110:P110))</x:f>
      </x:c>
      <x:c r="Y110" s="26" t="str">
        <x:f>IF(X110="","NR",IF(X110=INT(X110),"N"&amp;TEXT(X110,"0"),"N"&amp;TEXT(INT(X110),"0")&amp;"–N"&amp;TEXT(INT(X110)+1,"0")))</x:f>
        <x:v>NR</x:v>
      </x:c>
      <x:c r="Z110" s="32" t="n">
        <x:v>0</x:v>
      </x:c>
      <x:c r="AA110" s="32" t="n">
        <x:v>0</x:v>
      </x:c>
      <x:c r="AB110" s="26" t="str">
        <x:f>IF(M110&gt;=0.75,"Universal / núcleo",IF(M110&gt;=0.5,"Consolidada",IF(M110&gt;=0.25,"Selectiva","Baja prevalencia")))</x:f>
        <x:v>Baja prevalencia</x:v>
      </x:c>
      <x:c r="AC110" s="26" t="str">
        <x:v>No</x:v>
      </x:c>
      <x:c r="AD110" s="26" t="str">
        <x:f>IF(AND(AC110="Sí",L110&gt;=2,M110&lt;0.5,V110&gt;=45),"Emergente en grado",IF(AND(AC110="Sí",L110&lt;=1,Q110&gt;=2),"Emergente desde nivel avanzado",IF(AND(M110&lt;0.25,L110&gt;=1),"Nicho / especialización","")))</x:f>
        <x:v>Nicho / especialización</x:v>
      </x:c>
      <x:c r="AE110" s="26" t="str">
        <x:v>Alta</x:v>
      </x:c>
      <x:c r="AF110" s="26" t="str">
        <x:v>Comunicación, liderazgo e inglés</x:v>
      </x:c>
      <x:c r="AG110" s="26" t="str">
        <x:f>IF(AND(AB110="Universal / núcleo",AE110="Alta"),"Muy alta",IF(AND(OR(AD110="Emergente en grado",AD110="Emergente desde nivel avanzado"),AE110="Alta"),"Muy alta",IF(OR(AB110="Universal / núcleo",AB110="Consolidada",AE110="Alta"),"Alta",IF(OR(AD110&lt;&gt;"",AE110="Media"),"Media","Baja"))))</x:f>
        <x:v>Alta</x:v>
      </x:c>
      <x:c r="AH110" s="26" t="str">
        <x:v>Comparar con la malla EPN Agro antes de decidir mantener/reforzar/integrar/añadir.</x:v>
      </x:c>
    </x:row>
    <x:row r="111">
      <x:c r="A111" s="26" t="str">
        <x:v>A16</x:v>
      </x:c>
      <x:c r="B111" s="26" t="str">
        <x:v>Comunicación, Idiomas, Ética y Formación Transversal</x:v>
      </x:c>
      <x:c r="C111" s="26" t="str">
        <x:v>S54</x:v>
      </x:c>
      <x:c r="D111" s="26" t="str">
        <x:v>Profesional transversal</x:v>
      </x:c>
      <x:c r="E111" s="26" t="str">
        <x:v>F1603</x:v>
      </x:c>
      <x:c r="F111" s="26" t="str">
        <x:v>Ética, responsabilidad y desarrollo profesional</x:v>
      </x:c>
      <x:c r="G111" s="26" t="str">
        <x:v>Ética e inserción/desarrollo profesional.</x:v>
      </x:c>
      <x:c r="H111" s="26" t="n">
        <x:f>COUNTIF('04_Presencia_Curriculos'!D111:X111,"&gt;0")</x:f>
        <x:v>7</x:v>
      </x:c>
      <x:c r="I111" s="32" t="n">
        <x:f>H111/'01_Metodologia'!$F$4</x:f>
        <x:v>0.3333333333333333</x:v>
      </x:c>
      <x:c r="J111" s="26" t="n">
        <x:f>COUNTIF('04_Presencia_Curriculos'!D111:Q111,"&gt;0")</x:f>
        <x:v>2</x:v>
      </x:c>
      <x:c r="K111" s="32" t="n">
        <x:f>J111/'01_Metodologia'!$F$5</x:f>
        <x:v>0.14285714285714285</x:v>
      </x:c>
      <x:c r="L111" s="26" t="n">
        <x:f>COUNTIF('04_Presencia_Curriculos'!D111:P111,"&gt;0")</x:f>
        <x:v>2</x:v>
      </x:c>
      <x:c r="M111" s="32" t="n">
        <x:f>L111/'01_Metodologia'!$F$6</x:f>
        <x:v>0.15384615384615385</x:v>
      </x:c>
      <x:c r="N111" s="26" t="n">
        <x:f>COUNTIF('04_Presencia_Curriculos'!D111:P111,2)</x:f>
        <x:v>1</x:v>
      </x:c>
      <x:c r="O111" s="32" t="n">
        <x:f>N111/'01_Metodologia'!$F$6</x:f>
        <x:v>0.07692307692307693</x:v>
      </x:c>
      <x:c r="P111" s="26" t="n">
        <x:f>COUNTIF('04_Presencia_Curriculos'!D111:P111,1)</x:f>
        <x:v>1</x:v>
      </x:c>
      <x:c r="Q111" s="26" t="n">
        <x:f>COUNTIF('04_Presencia_Curriculos'!R111:X111,"&gt;0")</x:f>
        <x:v>5</x:v>
      </x:c>
      <x:c r="R111" s="32" t="n">
        <x:f>Q111/'01_Metodologia'!$F$7</x:f>
        <x:v>0.7142857142857143</x:v>
      </x:c>
      <x:c r="S111" s="36" t="n">
        <x:v>0.3333333333333333</x:v>
      </x:c>
      <x:c r="T111" s="32" t="n">
        <x:f>AVERAGE('05_Peso_Creditos_Core'!D111:O111)</x:f>
        <x:v>0.001851851851851852</x:v>
      </x:c>
      <x:c r="U111" s="32" t="n">
        <x:f>MEDIAN('05_Peso_Creditos_Core'!D111:O111)</x:f>
        <x:v>0</x:v>
      </x:c>
      <x:c r="V111" s="34" t="n">
        <x:f>IF(COUNT('06_Posicion_Core'!D111:P111)=0,"",MEDIAN('06_Posicion_Core'!D111:P111))</x:f>
        <x:v>33.333333333333336</x:v>
      </x:c>
      <x:c r="W111" s="26" t="str">
        <x:f>IF(V111="","NR",IF(V111&lt;=25,"E1 Fundamentos",IF(V111&lt;=50,"E2 Fundamentos de ingeniería",IF(V111&lt;=75,"E3 Formación profesional","E4 Integración/especialización"))))</x:f>
        <x:v>E2 Fundamentos de ingeniería</x:v>
      </x:c>
      <x:c r="X111" s="26" t="str">
        <x:f>IF(COUNT('07_Profundidad_Core'!D111:P111)=0,"",MEDIAN('07_Profundidad_Core'!D111:P111))</x:f>
      </x:c>
      <x:c r="Y111" s="26" t="str">
        <x:f>IF(X111="","NR",IF(X111=INT(X111),"N"&amp;TEXT(X111,"0"),"N"&amp;TEXT(INT(X111),"0")&amp;"–N"&amp;TEXT(INT(X111)+1,"0")))</x:f>
        <x:v>NR</x:v>
      </x:c>
      <x:c r="Z111" s="32" t="n">
        <x:v>0</x:v>
      </x:c>
      <x:c r="AA111" s="32" t="n">
        <x:v>0</x:v>
      </x:c>
      <x:c r="AB111" s="26" t="str">
        <x:f>IF(M111&gt;=0.75,"Universal / núcleo",IF(M111&gt;=0.5,"Consolidada",IF(M111&gt;=0.25,"Selectiva","Baja prevalencia")))</x:f>
        <x:v>Baja prevalencia</x:v>
      </x:c>
      <x:c r="AC111" s="26" t="str">
        <x:v>No</x:v>
      </x:c>
      <x:c r="AD111" s="26" t="str">
        <x:f>IF(AND(AC111="Sí",L111&gt;=2,M111&lt;0.5,V111&gt;=45),"Emergente en grado",IF(AND(AC111="Sí",L111&lt;=1,Q111&gt;=2),"Emergente desde nivel avanzado",IF(AND(M111&lt;0.25,L111&gt;=1),"Nicho / especialización","")))</x:f>
        <x:v>Nicho / especialización</x:v>
      </x:c>
      <x:c r="AE111" s="26" t="str">
        <x:v>Alta</x:v>
      </x:c>
      <x:c r="AF111" s="26" t="str">
        <x:v>Comunicación, liderazgo e inglés</x:v>
      </x:c>
      <x:c r="AG111" s="26" t="str">
        <x:f>IF(AND(AB111="Universal / núcleo",AE111="Alta"),"Muy alta",IF(AND(OR(AD111="Emergente en grado",AD111="Emergente desde nivel avanzado"),AE111="Alta"),"Muy alta",IF(OR(AB111="Universal / núcleo",AB111="Consolidada",AE111="Alta"),"Alta",IF(OR(AD111&lt;&gt;"",AE111="Media"),"Media","Baja"))))</x:f>
        <x:v>Alta</x:v>
      </x:c>
      <x:c r="AH111" s="26" t="str">
        <x:v>Comparar con la malla EPN Agro antes de decidir mantener/reforzar/integrar/añadir.</x:v>
      </x:c>
    </x:row>
    <x:row r="112">
      <x:c r="A112" s="26" t="str">
        <x:v>A16</x:v>
      </x:c>
      <x:c r="B112" s="26" t="str">
        <x:v>Comunicación, Idiomas, Ética y Formación Transversal</x:v>
      </x:c>
      <x:c r="C112" s="26" t="str">
        <x:v>S54</x:v>
      </x:c>
      <x:c r="D112" s="26" t="str">
        <x:v>Profesional transversal</x:v>
      </x:c>
      <x:c r="E112" s="26" t="str">
        <x:v>F1604</x:v>
      </x:c>
      <x:c r="F112" s="26" t="str">
        <x:v>Propiedad intelectual y regulación profesional general</x:v>
      </x:c>
      <x:c r="G112" s="26" t="str">
        <x:v>PI, patentes y derecho general.</x:v>
      </x:c>
      <x:c r="H112" s="26" t="n">
        <x:f>COUNTIF('04_Presencia_Curriculos'!D112:X112,"&gt;0")</x:f>
        <x:v>1</x:v>
      </x:c>
      <x:c r="I112" s="32" t="n">
        <x:f>H112/'01_Metodologia'!$F$4</x:f>
        <x:v>0.047619047619047616</x:v>
      </x:c>
      <x:c r="J112" s="26" t="n">
        <x:f>COUNTIF('04_Presencia_Curriculos'!D112:Q112,"&gt;0")</x:f>
        <x:v>1</x:v>
      </x:c>
      <x:c r="K112" s="32" t="n">
        <x:f>J112/'01_Metodologia'!$F$5</x:f>
        <x:v>0.07142857142857142</x:v>
      </x:c>
      <x:c r="L112" s="26" t="n">
        <x:f>COUNTIF('04_Presencia_Curriculos'!D112:P112,"&gt;0")</x:f>
        <x:v>1</x:v>
      </x:c>
      <x:c r="M112" s="32" t="n">
        <x:f>L112/'01_Metodologia'!$F$6</x:f>
        <x:v>0.07692307692307693</x:v>
      </x:c>
      <x:c r="N112" s="26" t="n">
        <x:f>COUNTIF('04_Presencia_Curriculos'!D112:P112,2)</x:f>
        <x:v>0</x:v>
      </x:c>
      <x:c r="O112" s="32" t="n">
        <x:f>N112/'01_Metodologia'!$F$6</x:f>
        <x:v>0</x:v>
      </x:c>
      <x:c r="P112" s="26" t="n">
        <x:f>COUNTIF('04_Presencia_Curriculos'!D112:P112,1)</x:f>
        <x:v>1</x:v>
      </x:c>
      <x:c r="Q112" s="26" t="n">
        <x:f>COUNTIF('04_Presencia_Curriculos'!R112:X112,"&gt;0")</x:f>
        <x:v>0</x:v>
      </x:c>
      <x:c r="R112" s="32" t="n">
        <x:f>Q112/'01_Metodologia'!$F$7</x:f>
        <x:v>0</x:v>
      </x:c>
      <x:c r="S112" s="36" t="n">
        <x:v>0</x:v>
      </x:c>
      <x:c r="T112" s="32" t="n">
        <x:f>AVERAGE('05_Peso_Creditos_Core'!D112:O112)</x:f>
        <x:v>0</x:v>
      </x:c>
      <x:c r="U112" s="32" t="n">
        <x:f>MEDIAN('05_Peso_Creditos_Core'!D112:O112)</x:f>
        <x:v>0</x:v>
      </x:c>
      <x:c r="V112" s="34" t="n">
        <x:f>IF(COUNT('06_Posicion_Core'!D112:P112)=0,"",MEDIAN('06_Posicion_Core'!D112:P112))</x:f>
        <x:v>41.66666666666667</x:v>
      </x:c>
      <x:c r="W112" s="26" t="str">
        <x:f>IF(V112="","NR",IF(V112&lt;=25,"E1 Fundamentos",IF(V112&lt;=50,"E2 Fundamentos de ingeniería",IF(V112&lt;=75,"E3 Formación profesional","E4 Integración/especialización"))))</x:f>
        <x:v>E2 Fundamentos de ingeniería</x:v>
      </x:c>
      <x:c r="X112" s="26" t="str">
        <x:f>IF(COUNT('07_Profundidad_Core'!D112:P112)=0,"",MEDIAN('07_Profundidad_Core'!D112:P112))</x:f>
      </x:c>
      <x:c r="Y112" s="26" t="str">
        <x:f>IF(X112="","NR",IF(X112=INT(X112),"N"&amp;TEXT(X112,"0"),"N"&amp;TEXT(INT(X112),"0")&amp;"–N"&amp;TEXT(INT(X112)+1,"0")))</x:f>
        <x:v>NR</x:v>
      </x:c>
      <x:c r="Z112" s="32" t="n">
        <x:v>0</x:v>
      </x:c>
      <x:c r="AA112" s="32" t="n">
        <x:v>0</x:v>
      </x:c>
      <x:c r="AB112" s="26" t="str">
        <x:f>IF(M112&gt;=0.75,"Universal / núcleo",IF(M112&gt;=0.5,"Consolidada",IF(M112&gt;=0.25,"Selectiva","Baja prevalencia")))</x:f>
        <x:v>Baja prevalencia</x:v>
      </x:c>
      <x:c r="AC112" s="26" t="str">
        <x:v>No</x:v>
      </x:c>
      <x:c r="AD112" s="26" t="str">
        <x:f>IF(AND(AC112="Sí",L112&gt;=2,M112&lt;0.5,V112&gt;=45),"Emergente en grado",IF(AND(AC112="Sí",L112&lt;=1,Q112&gt;=2),"Emergente desde nivel avanzado",IF(AND(M112&lt;0.25,L112&gt;=1),"Nicho / especialización","")))</x:f>
        <x:v>Nicho / especialización</x:v>
      </x:c>
      <x:c r="AE112" s="26" t="str"/>
      <x:c r="AF112" s="26" t="str"/>
      <x:c r="AG112" s="26" t="str">
        <x:f>IF(AND(AB112="Universal / núcleo",AE112="Alta"),"Muy alta",IF(AND(OR(AD112="Emergente en grado",AD112="Emergente desde nivel avanzado"),AE112="Alta"),"Muy alta",IF(OR(AB112="Universal / núcleo",AB112="Consolidada",AE112="Alta"),"Alta",IF(OR(AD112&lt;&gt;"",AE112="Media"),"Media","Baja"))))</x:f>
        <x:v>Media</x:v>
      </x:c>
      <x:c r="AH112" s="26" t="str">
        <x:v>Comparar con la malla EPN Agro antes de decidir mantener/reforzar/integrar/añadir.</x:v>
      </x:c>
    </x:row>
    <x:row r="113">
      <x:c r="A113" s="26" t="str">
        <x:v>A16</x:v>
      </x:c>
      <x:c r="B113" s="26" t="str">
        <x:v>Comunicación, Idiomas, Ética y Formación Transversal</x:v>
      </x:c>
      <x:c r="C113" s="26" t="str">
        <x:v>S55</x:v>
      </x:c>
      <x:c r="D113" s="26" t="str">
        <x:v>Información</x:v>
      </x:c>
      <x:c r="E113" s="26" t="str">
        <x:v>F1605</x:v>
      </x:c>
      <x:c r="F113" s="26" t="str">
        <x:v>Documentación y alfabetización informacional</x:v>
      </x:c>
      <x:c r="G113" s="26" t="str">
        <x:v>Búsqueda documental y gestión de información.</x:v>
      </x:c>
      <x:c r="H113" s="26" t="n">
        <x:f>COUNTIF('04_Presencia_Curriculos'!D113:X113,"&gt;0")</x:f>
        <x:v>1</x:v>
      </x:c>
      <x:c r="I113" s="32" t="n">
        <x:f>H113/'01_Metodologia'!$F$4</x:f>
        <x:v>0.047619047619047616</x:v>
      </x:c>
      <x:c r="J113" s="26" t="n">
        <x:f>COUNTIF('04_Presencia_Curriculos'!D113:Q113,"&gt;0")</x:f>
        <x:v>0</x:v>
      </x:c>
      <x:c r="K113" s="32" t="n">
        <x:f>J113/'01_Metodologia'!$F$5</x:f>
        <x:v>0</x:v>
      </x:c>
      <x:c r="L113" s="26" t="n">
        <x:f>COUNTIF('04_Presencia_Curriculos'!D113:P113,"&gt;0")</x:f>
        <x:v>0</x:v>
      </x:c>
      <x:c r="M113" s="32" t="n">
        <x:f>L113/'01_Metodologia'!$F$6</x:f>
        <x:v>0</x:v>
      </x:c>
      <x:c r="N113" s="26" t="n">
        <x:f>COUNTIF('04_Presencia_Curriculos'!D113:P113,2)</x:f>
        <x:v>0</x:v>
      </x:c>
      <x:c r="O113" s="32" t="n">
        <x:f>N113/'01_Metodologia'!$F$6</x:f>
        <x:v>0</x:v>
      </x:c>
      <x:c r="P113" s="26" t="n">
        <x:f>COUNTIF('04_Presencia_Curriculos'!D113:P113,1)</x:f>
        <x:v>0</x:v>
      </x:c>
      <x:c r="Q113" s="26" t="n">
        <x:f>COUNTIF('04_Presencia_Curriculos'!R113:X113,"&gt;0")</x:f>
        <x:v>1</x:v>
      </x:c>
      <x:c r="R113" s="32" t="n">
        <x:f>Q113/'01_Metodologia'!$F$7</x:f>
        <x:v>0.14285714285714285</x:v>
      </x:c>
      <x:c r="S113" s="36" t="n">
        <x:v>0</x:v>
      </x:c>
      <x:c r="T113" s="32" t="n">
        <x:f>AVERAGE('05_Peso_Creditos_Core'!D113:O113)</x:f>
        <x:v>0</x:v>
      </x:c>
      <x:c r="U113" s="32" t="n">
        <x:f>MEDIAN('05_Peso_Creditos_Core'!D113:O113)</x:f>
        <x:v>0</x:v>
      </x:c>
      <x:c r="V113" s="34" t="str">
        <x:f>IF(COUNT('06_Posicion_Core'!D113:P113)=0,"",MEDIAN('06_Posicion_Core'!D113:P113))</x:f>
      </x:c>
      <x:c r="W113" s="26" t="str">
        <x:f>IF(V113="","NR",IF(V113&lt;=25,"E1 Fundamentos",IF(V113&lt;=50,"E2 Fundamentos de ingeniería",IF(V113&lt;=75,"E3 Formación profesional","E4 Integración/especialización"))))</x:f>
        <x:v>NR</x:v>
      </x:c>
      <x:c r="X113" s="26" t="str">
        <x:f>IF(COUNT('07_Profundidad_Core'!D113:P113)=0,"",MEDIAN('07_Profundidad_Core'!D113:P113))</x:f>
      </x:c>
      <x:c r="Y113" s="26" t="str">
        <x:f>IF(X113="","NR",IF(X113=INT(X113),"N"&amp;TEXT(X113,"0"),"N"&amp;TEXT(INT(X113),"0")&amp;"–N"&amp;TEXT(INT(X113)+1,"0")))</x:f>
        <x:v>NR</x:v>
      </x:c>
      <x:c r="Z113" s="32"/>
      <x:c r="AA113" s="32"/>
      <x:c r="AB113" s="26" t="str">
        <x:f>IF(M113&gt;=0.75,"Universal / núcleo",IF(M113&gt;=0.5,"Consolidada",IF(M113&gt;=0.25,"Selectiva","Baja prevalencia")))</x:f>
        <x:v>Baja prevalencia</x:v>
      </x:c>
      <x:c r="AC113" s="26" t="str">
        <x:v>No</x:v>
      </x:c>
      <x:c r="AD113" s="26" t="str">
        <x:f>IF(AND(AC113="Sí",L113&gt;=2,M113&lt;0.5,V113&gt;=45),"Emergente en grado",IF(AND(AC113="Sí",L113&lt;=1,Q113&gt;=2),"Emergente desde nivel avanzado",IF(AND(M113&lt;0.25,L113&gt;=1),"Nicho / especialización","")))</x:f>
      </x:c>
      <x:c r="AE113" s="26" t="str"/>
      <x:c r="AF113" s="26" t="str"/>
      <x:c r="AG113" s="26" t="str">
        <x:f>IF(AND(AB113="Universal / núcleo",AE113="Alta"),"Muy alta",IF(AND(OR(AD113="Emergente en grado",AD113="Emergente desde nivel avanzado"),AE113="Alta"),"Muy alta",IF(OR(AB113="Universal / núcleo",AB113="Consolidada",AE113="Alta"),"Alta",IF(OR(AD113&lt;&gt;"",AE113="Media"),"Media","Baja"))))</x:f>
        <x:v>Baja</x:v>
      </x:c>
      <x:c r="AH113" s="26" t="str">
        <x:v>Comparar con la malla EPN Agro antes de decidir mantener/reforzar/integrar/añadir.</x:v>
      </x:c>
    </x:row>
    <x:row r="114">
      <x:c r="A114" s="26" t="str">
        <x:v>A16</x:v>
      </x:c>
      <x:c r="B114" s="26" t="str">
        <x:v>Comunicación, Idiomas, Ética y Formación Transversal</x:v>
      </x:c>
      <x:c r="C114" s="26" t="str">
        <x:v>S56</x:v>
      </x:c>
      <x:c r="D114" s="26" t="str">
        <x:v>Formación general</x:v>
      </x:c>
      <x:c r="E114" s="26" t="str">
        <x:v>F1606</x:v>
      </x:c>
      <x:c r="F114" s="26" t="str">
        <x:v>Humanidades, deporte y formación general</x:v>
      </x:c>
      <x:c r="G114" s="26" t="str">
        <x:v>Formación general no técnica.</x:v>
      </x:c>
      <x:c r="H114" s="26" t="n">
        <x:f>COUNTIF('04_Presencia_Curriculos'!D114:X114,"&gt;0")</x:f>
        <x:v>1</x:v>
      </x:c>
      <x:c r="I114" s="32" t="n">
        <x:f>H114/'01_Metodologia'!$F$4</x:f>
        <x:v>0.047619047619047616</x:v>
      </x:c>
      <x:c r="J114" s="26" t="n">
        <x:f>COUNTIF('04_Presencia_Curriculos'!D114:Q114,"&gt;0")</x:f>
        <x:v>1</x:v>
      </x:c>
      <x:c r="K114" s="32" t="n">
        <x:f>J114/'01_Metodologia'!$F$5</x:f>
        <x:v>0.07142857142857142</x:v>
      </x:c>
      <x:c r="L114" s="26" t="n">
        <x:f>COUNTIF('04_Presencia_Curriculos'!D114:P114,"&gt;0")</x:f>
        <x:v>1</x:v>
      </x:c>
      <x:c r="M114" s="32" t="n">
        <x:f>L114/'01_Metodologia'!$F$6</x:f>
        <x:v>0.07692307692307693</x:v>
      </x:c>
      <x:c r="N114" s="26" t="n">
        <x:f>COUNTIF('04_Presencia_Curriculos'!D114:P114,2)</x:f>
        <x:v>0</x:v>
      </x:c>
      <x:c r="O114" s="32" t="n">
        <x:f>N114/'01_Metodologia'!$F$6</x:f>
        <x:v>0</x:v>
      </x:c>
      <x:c r="P114" s="26" t="n">
        <x:f>COUNTIF('04_Presencia_Curriculos'!D114:P114,1)</x:f>
        <x:v>1</x:v>
      </x:c>
      <x:c r="Q114" s="26" t="n">
        <x:f>COUNTIF('04_Presencia_Curriculos'!R114:X114,"&gt;0")</x:f>
        <x:v>0</x:v>
      </x:c>
      <x:c r="R114" s="32" t="n">
        <x:f>Q114/'01_Metodologia'!$F$7</x:f>
        <x:v>0</x:v>
      </x:c>
      <x:c r="S114" s="36" t="n">
        <x:v>0</x:v>
      </x:c>
      <x:c r="T114" s="32" t="n">
        <x:f>AVERAGE('05_Peso_Creditos_Core'!D114:O114)</x:f>
        <x:v>0</x:v>
      </x:c>
      <x:c r="U114" s="32" t="n">
        <x:f>MEDIAN('05_Peso_Creditos_Core'!D114:O114)</x:f>
        <x:v>0</x:v>
      </x:c>
      <x:c r="V114" s="34" t="n">
        <x:f>IF(COUNT('06_Posicion_Core'!D114:P114)=0,"",MEDIAN('06_Posicion_Core'!D114:P114))</x:f>
        <x:v>91.66666666666666</x:v>
      </x:c>
      <x:c r="W114" s="26" t="str">
        <x:f>IF(V114="","NR",IF(V114&lt;=25,"E1 Fundamentos",IF(V114&lt;=50,"E2 Fundamentos de ingeniería",IF(V114&lt;=75,"E3 Formación profesional","E4 Integración/especialización"))))</x:f>
        <x:v>E4 Integración/especialización</x:v>
      </x:c>
      <x:c r="X114" s="26" t="n">
        <x:f>IF(COUNT('07_Profundidad_Core'!D114:P114)=0,"",MEDIAN('07_Profundidad_Core'!D114:P114))</x:f>
        <x:v>1</x:v>
      </x:c>
      <x:c r="Y114" s="26" t="str">
        <x:f>IF(X114="","NR",IF(X114=INT(X114),"N"&amp;TEXT(X114,"0"),"N"&amp;TEXT(INT(X114),"0")&amp;"–N"&amp;TEXT(INT(X114)+1,"0")))</x:f>
        <x:v>N1</x:v>
      </x:c>
      <x:c r="Z114" s="32" t="n">
        <x:v>0</x:v>
      </x:c>
      <x:c r="AA114" s="32" t="n">
        <x:v>0</x:v>
      </x:c>
      <x:c r="AB114" s="26" t="str">
        <x:f>IF(M114&gt;=0.75,"Universal / núcleo",IF(M114&gt;=0.5,"Consolidada",IF(M114&gt;=0.25,"Selectiva","Baja prevalencia")))</x:f>
        <x:v>Baja prevalencia</x:v>
      </x:c>
      <x:c r="AC114" s="26" t="str">
        <x:v>No</x:v>
      </x:c>
      <x:c r="AD114" s="26" t="str">
        <x:f>IF(AND(AC114="Sí",L114&gt;=2,M114&lt;0.5,V114&gt;=45),"Emergente en grado",IF(AND(AC114="Sí",L114&lt;=1,Q114&gt;=2),"Emergente desde nivel avanzado",IF(AND(M114&lt;0.25,L114&gt;=1),"Nicho / especialización","")))</x:f>
        <x:v>Nicho / especialización</x:v>
      </x:c>
      <x:c r="AE114" s="26" t="str"/>
      <x:c r="AF114" s="26" t="str"/>
      <x:c r="AG114" s="26" t="str">
        <x:f>IF(AND(AB114="Universal / núcleo",AE114="Alta"),"Muy alta",IF(AND(OR(AD114="Emergente en grado",AD114="Emergente desde nivel avanzado"),AE114="Alta"),"Muy alta",IF(OR(AB114="Universal / núcleo",AB114="Consolidada",AE114="Alta"),"Alta",IF(OR(AD114&lt;&gt;"",AE114="Media"),"Media","Baja"))))</x:f>
        <x:v>Media</x:v>
      </x:c>
      <x:c r="AH114" s="26" t="str">
        <x:v>Comparar con la malla EPN Agro antes de decidir mantener/reforzar/integrar/añadir.</x:v>
      </x:c>
    </x:row>
  </x:sheetData>
  <x:mergeCells>
    <x:mergeCell ref="A1:AH1"/>
  </x:mergeCells>
  <x:conditionalFormatting sqref="AB4:AB114">
    <x:cfRule type="expression" dxfId="2" priority="1">
      <x:formula>AB4="Universal / núcleo"</x:formula>
    </x:cfRule>
    <x:cfRule type="expression" dxfId="3" priority="2">
      <x:formula>AB4="Consolidada"</x:formula>
    </x:cfRule>
  </x:conditionalFormatting>
  <x:conditionalFormatting sqref="AD4:AD114">
    <x:cfRule type="expression" dxfId="4" priority="3">
      <x:formula>LEFT(AD4,9)="Emergente"</x:formula>
    </x:cfRule>
  </x:conditionalFormatting>
  <x:conditionalFormatting sqref="AG4:AG114">
    <x:cfRule type="expression" dxfId="5" priority="4">
      <x:formula>AG4="Muy alta"</x:formula>
    </x:cfRule>
    <x:cfRule type="expression" dxfId="6" priority="5">
      <x:formula>AG4="Alta"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</x:cols>
  <x:sheetData>
    <x:row r="1">
      <x:c r="A1" s="5" t="str">
        <x:v>PRESENCIA DE FAMILIAS POR CURRÍCULO — 2=obligatoria · 1=solo optativa/disponible · 0=ausente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>
      <x:c r="D2" s="22" t="str">
        <x:v>CORE_BACHELOR (13)</x:v>
      </x:c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 t="str">
        <x:v>BACHELOR PARCIAL</x:v>
      </x:c>
      <x:c r="R2" s="22" t="str">
        <x:v>INGÉNIEUR/MASTER (7)</x:v>
      </x:c>
      <x:c r="S2" s="22"/>
      <x:c r="T2" s="22"/>
      <x:c r="U2" s="22"/>
      <x:c r="V2" s="22"/>
      <x:c r="W2" s="22"/>
      <x:c r="X2" s="22"/>
    </x:row>
    <x:row r="3">
      <x:c r="A3" s="14" t="str">
        <x:v>ID_Area</x:v>
      </x:c>
      <x:c r="B3" s="14" t="str">
        <x:v>ID_Familia</x:v>
      </x:c>
      <x:c r="C3" s="14" t="str">
        <x:v>Familia</x:v>
      </x:c>
      <x:c r="D3" s="14" t="str">
        <x:v>UPM</x:v>
      </x:c>
      <x:c r="E3" s="14" t="str">
        <x:v>USAL</x:v>
      </x:c>
      <x:c r="F3" s="14" t="str">
        <x:v>UPC</x:v>
      </x:c>
      <x:c r="G3" s="14" t="str">
        <x:v>UCO</x:v>
      </x:c>
      <x:c r="H3" s="14" t="str">
        <x:v>UMH</x:v>
      </x:c>
      <x:c r="I3" s="14" t="str">
        <x:v>IPLEIRIA</x:v>
      </x:c>
      <x:c r="J3" s="14" t="str">
        <x:v>ISA</x:v>
      </x:c>
      <x:c r="K3" s="14" t="str">
        <x:v>ESAV</x:v>
      </x:c>
      <x:c r="L3" s="14" t="str">
        <x:v>UNIBO</x:v>
      </x:c>
      <x:c r="M3" s="14" t="str">
        <x:v>UNIFG</x:v>
      </x:c>
      <x:c r="N3" s="14" t="str">
        <x:v>UNICUSANO</x:v>
      </x:c>
      <x:c r="O3" s="14" t="str">
        <x:v>HOHENHEIM</x:v>
      </x:c>
      <x:c r="P3" s="14" t="str">
        <x:v>TUM</x:v>
      </x:c>
      <x:c r="Q3" s="14" t="str">
        <x:v>SEVILLA</x:v>
      </x:c>
      <x:c r="R3" s="14" t="str">
        <x:v>ENSAIA</x:v>
      </x:c>
      <x:c r="S3" s="14" t="str">
        <x:v>IARA</x:v>
      </x:c>
      <x:c r="T3" s="14" t="str">
        <x:v>ONIRIS</x:v>
      </x:c>
      <x:c r="U3" s="14" t="str">
        <x:v>AGROPARISTECH</x:v>
      </x:c>
      <x:c r="V3" s="14" t="str">
        <x:v>IAD</x:v>
      </x:c>
      <x:c r="W3" s="14" t="str">
        <x:v>UNILASALLE</x:v>
      </x:c>
      <x:c r="X3" s="14" t="str">
        <x:v>PURPAN</x:v>
      </x:c>
    </x:row>
    <x:row r="4">
      <x:c r="A4" t="str">
        <x:v>A00</x:v>
      </x:c>
      <x:c r="B4" t="str">
        <x:v>F0001</x:v>
      </x:c>
      <x:c r="C4" t="str">
        <x:v>Optatividad / grupo de elección</x:v>
      </x:c>
      <x:c r="D4" t="n">
        <x:v>0</x:v>
      </x:c>
      <x:c r="E4" t="n">
        <x:v>1</x:v>
      </x:c>
      <x:c r="F4" t="n">
        <x:v>0</x:v>
      </x:c>
      <x:c r="G4" t="n">
        <x:v>1</x:v>
      </x:c>
      <x:c r="H4" t="n">
        <x:v>1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1</x:v>
      </x:c>
      <x:c r="N4" t="n">
        <x:v>1</x:v>
      </x:c>
      <x:c r="O4" t="n">
        <x:v>0</x:v>
      </x:c>
      <x:c r="P4" t="n">
        <x:v>1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</x:row>
    <x:row r="5">
      <x:c r="A5" t="str">
        <x:v>A00</x:v>
      </x:c>
      <x:c r="B5" t="str">
        <x:v>F0002</x:v>
      </x:c>
      <x:c r="C5" t="str">
        <x:v>Especialización / parcours no desagregado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2</x:v>
      </x:c>
      <x:c r="S5" t="n">
        <x:v>0</x:v>
      </x:c>
      <x:c r="T5" t="n">
        <x:v>1</x:v>
      </x:c>
      <x:c r="U5" t="n">
        <x:v>2</x:v>
      </x:c>
      <x:c r="V5" t="n">
        <x:v>0</x:v>
      </x:c>
      <x:c r="W5" t="n">
        <x:v>2</x:v>
      </x:c>
      <x:c r="X5" t="n">
        <x:v>0</x:v>
      </x:c>
    </x:row>
    <x:row r="6">
      <x:c r="A6" t="str">
        <x:v>A01</x:v>
      </x:c>
      <x:c r="B6" t="str">
        <x:v>F0101</x:v>
      </x:c>
      <x:c r="C6" t="str">
        <x:v>Cálculo y matemática general</x:v>
      </x:c>
      <x:c r="D6" t="n">
        <x:v>2</x:v>
      </x:c>
      <x:c r="E6" t="n">
        <x:v>2</x:v>
      </x:c>
      <x:c r="F6" t="n">
        <x:v>2</x:v>
      </x:c>
      <x:c r="G6" t="n">
        <x:v>2</x:v>
      </x:c>
      <x:c r="H6" t="n">
        <x:v>2</x:v>
      </x:c>
      <x:c r="I6" t="n">
        <x:v>2</x:v>
      </x:c>
      <x:c r="J6" t="n">
        <x:v>2</x:v>
      </x:c>
      <x:c r="K6" t="n">
        <x:v>2</x:v>
      </x:c>
      <x:c r="L6" t="n">
        <x:v>2</x:v>
      </x:c>
      <x:c r="M6" t="n">
        <x:v>2</x:v>
      </x:c>
      <x:c r="N6" t="n">
        <x:v>2</x:v>
      </x:c>
      <x:c r="O6" t="n">
        <x:v>2</x:v>
      </x:c>
      <x:c r="P6" t="n">
        <x:v>2</x:v>
      </x:c>
      <x:c r="Q6" t="n">
        <x:v>2</x:v>
      </x:c>
      <x:c r="R6" t="n">
        <x:v>2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</x:row>
    <x:row r="7">
      <x:c r="A7" t="str">
        <x:v>A01</x:v>
      </x:c>
      <x:c r="B7" t="str">
        <x:v>F0102</x:v>
      </x:c>
      <x:c r="C7" t="str">
        <x:v>Álgebra lineal y geometría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2</x:v>
      </x:c>
      <x:c r="J7" t="n">
        <x:v>2</x:v>
      </x:c>
      <x:c r="K7" t="n">
        <x:v>0</x:v>
      </x:c>
      <x:c r="L7" t="n">
        <x:v>0</x:v>
      </x:c>
      <x:c r="M7" t="n">
        <x:v>0</x:v>
      </x:c>
      <x:c r="N7" t="n">
        <x:v>2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</x:row>
    <x:row r="8">
      <x:c r="A8" t="str">
        <x:v>A01</x:v>
      </x:c>
      <x:c r="B8" t="str">
        <x:v>F0103</x:v>
      </x:c>
      <x:c r="C8" t="str">
        <x:v>Ecuaciones diferenciales y modelización matemática</x:v>
      </x:c>
      <x:c r="D8" t="n">
        <x:v>2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</x:row>
    <x:row r="9">
      <x:c r="A9" t="str">
        <x:v>A01</x:v>
      </x:c>
      <x:c r="B9" t="str">
        <x:v>F0104</x:v>
      </x:c>
      <x:c r="C9" t="str">
        <x:v>Estadística y probabilidad</x:v>
      </x:c>
      <x:c r="D9" t="n">
        <x:v>2</x:v>
      </x:c>
      <x:c r="E9" t="n">
        <x:v>2</x:v>
      </x:c>
      <x:c r="F9" t="n">
        <x:v>2</x:v>
      </x:c>
      <x:c r="G9" t="n">
        <x:v>2</x:v>
      </x:c>
      <x:c r="H9" t="n">
        <x:v>2</x:v>
      </x:c>
      <x:c r="I9" t="n">
        <x:v>0</x:v>
      </x:c>
      <x:c r="J9" t="n">
        <x:v>2</x:v>
      </x:c>
      <x:c r="K9" t="n">
        <x:v>0</x:v>
      </x:c>
      <x:c r="L9" t="n">
        <x:v>0</x:v>
      </x:c>
      <x:c r="M9" t="n">
        <x:v>0</x:v>
      </x:c>
      <x:c r="N9" t="n">
        <x:v>2</x:v>
      </x:c>
      <x:c r="O9" t="n">
        <x:v>2</x:v>
      </x:c>
      <x:c r="P9" t="n">
        <x:v>2</x:v>
      </x:c>
      <x:c r="Q9" t="n">
        <x:v>0</x:v>
      </x:c>
      <x:c r="R9" t="n">
        <x:v>2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</x:row>
    <x:row r="10">
      <x:c r="A10" t="str">
        <x:v>A01</x:v>
      </x:c>
      <x:c r="B10" t="str">
        <x:v>F0105</x:v>
      </x:c>
      <x:c r="C10" t="str">
        <x:v>Diseño experimental y análisis multivariante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2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</x:row>
    <x:row r="11">
      <x:c r="A11" t="str">
        <x:v>A01</x:v>
      </x:c>
      <x:c r="B11" t="str">
        <x:v>F0106</x:v>
      </x:c>
      <x:c r="C11" t="str">
        <x:v>Métodos numéricos y programación</x:v>
      </x:c>
      <x:c r="D11" t="n">
        <x:v>2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2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</x:row>
    <x:row r="12">
      <x:c r="A12" t="str">
        <x:v>A01</x:v>
      </x:c>
      <x:c r="B12" t="str">
        <x:v>F0107</x:v>
      </x:c>
      <x:c r="C12" t="str">
        <x:v>Informática, bases de datos y software</x:v>
      </x:c>
      <x:c r="D12" t="n">
        <x:v>0</x:v>
      </x:c>
      <x:c r="E12" t="n">
        <x:v>2</x:v>
      </x:c>
      <x:c r="F12" t="n">
        <x:v>0</x:v>
      </x:c>
      <x:c r="G12" t="n">
        <x:v>2</x:v>
      </x:c>
      <x:c r="H12" t="n">
        <x:v>2</x:v>
      </x:c>
      <x:c r="I12" t="n">
        <x:v>0</x:v>
      </x:c>
      <x:c r="J12" t="n">
        <x:v>2</x:v>
      </x:c>
      <x:c r="K12" t="n">
        <x:v>2</x:v>
      </x:c>
      <x:c r="L12" t="n">
        <x:v>0</x:v>
      </x:c>
      <x:c r="M12" t="n">
        <x:v>0</x:v>
      </x:c>
      <x:c r="N12" t="n">
        <x:v>2</x:v>
      </x:c>
      <x:c r="O12" t="n">
        <x:v>1</x:v>
      </x:c>
      <x:c r="P12" t="n">
        <x:v>0</x:v>
      </x:c>
      <x:c r="Q12" t="n">
        <x:v>0</x:v>
      </x:c>
      <x:c r="R12" t="n">
        <x:v>2</x:v>
      </x:c>
      <x:c r="S12" t="n">
        <x:v>2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2</x:v>
      </x:c>
    </x:row>
    <x:row r="13">
      <x:c r="A13" t="str">
        <x:v>A01</x:v>
      </x:c>
      <x:c r="B13" t="str">
        <x:v>F0108</x:v>
      </x:c>
      <x:c r="C13" t="str">
        <x:v>Ciencia de datos, IA y analítica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2</x:v>
      </x:c>
      <x:c r="S13" t="n">
        <x:v>0</x:v>
      </x:c>
      <x:c r="T13" t="n">
        <x:v>2</x:v>
      </x:c>
      <x:c r="U13" t="n">
        <x:v>0</x:v>
      </x:c>
      <x:c r="V13" t="n">
        <x:v>0</x:v>
      </x:c>
      <x:c r="W13" t="n">
        <x:v>0</x:v>
      </x:c>
      <x:c r="X13" t="n">
        <x:v>2</x:v>
      </x:c>
    </x:row>
    <x:row r="14">
      <x:c r="A14" t="str">
        <x:v>A02</x:v>
      </x:c>
      <x:c r="B14" t="str">
        <x:v>F0201</x:v>
      </x:c>
      <x:c r="C14" t="str">
        <x:v>Física general y aplicada</x:v>
      </x:c>
      <x:c r="D14" t="n">
        <x:v>2</x:v>
      </x:c>
      <x:c r="E14" t="n">
        <x:v>2</x:v>
      </x:c>
      <x:c r="F14" t="n">
        <x:v>2</x:v>
      </x:c>
      <x:c r="G14" t="n">
        <x:v>2</x:v>
      </x:c>
      <x:c r="H14" t="n">
        <x:v>2</x:v>
      </x:c>
      <x:c r="I14" t="n">
        <x:v>2</x:v>
      </x:c>
      <x:c r="J14" t="n">
        <x:v>2</x:v>
      </x:c>
      <x:c r="K14" t="n">
        <x:v>2</x:v>
      </x:c>
      <x:c r="L14" t="n">
        <x:v>2</x:v>
      </x:c>
      <x:c r="M14" t="n">
        <x:v>2</x:v>
      </x:c>
      <x:c r="N14" t="n">
        <x:v>2</x:v>
      </x:c>
      <x:c r="O14" t="n">
        <x:v>2</x:v>
      </x:c>
      <x:c r="P14" t="n">
        <x:v>2</x:v>
      </x:c>
      <x:c r="Q14" t="n">
        <x:v>2</x:v>
      </x:c>
      <x:c r="R14" t="n">
        <x:v>2</x:v>
      </x:c>
      <x:c r="S14" t="n">
        <x:v>2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</x:row>
    <x:row r="15">
      <x:c r="A15" t="str">
        <x:v>A02</x:v>
      </x:c>
      <x:c r="B15" t="str">
        <x:v>F0202</x:v>
      </x:c>
      <x:c r="C15" t="str">
        <x:v>Química general e inorgánica</x:v>
      </x:c>
      <x:c r="D15" t="n">
        <x:v>2</x:v>
      </x:c>
      <x:c r="E15" t="n">
        <x:v>2</x:v>
      </x:c>
      <x:c r="F15" t="n">
        <x:v>2</x:v>
      </x:c>
      <x:c r="G15" t="n">
        <x:v>2</x:v>
      </x:c>
      <x:c r="H15" t="n">
        <x:v>2</x:v>
      </x:c>
      <x:c r="I15" t="n">
        <x:v>2</x:v>
      </x:c>
      <x:c r="J15" t="n">
        <x:v>2</x:v>
      </x:c>
      <x:c r="K15" t="n">
        <x:v>2</x:v>
      </x:c>
      <x:c r="L15" t="n">
        <x:v>2</x:v>
      </x:c>
      <x:c r="M15" t="n">
        <x:v>2</x:v>
      </x:c>
      <x:c r="N15" t="n">
        <x:v>2</x:v>
      </x:c>
      <x:c r="O15" t="n">
        <x:v>2</x:v>
      </x:c>
      <x:c r="P15" t="n">
        <x:v>2</x:v>
      </x:c>
      <x:c r="Q15" t="n">
        <x:v>2</x:v>
      </x:c>
      <x:c r="R15" t="n">
        <x:v>0</x:v>
      </x:c>
      <x:c r="S15" t="n">
        <x:v>2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</x:row>
    <x:row r="16">
      <x:c r="A16" t="str">
        <x:v>A02</x:v>
      </x:c>
      <x:c r="B16" t="str">
        <x:v>F0203</x:v>
      </x:c>
      <x:c r="C16" t="str">
        <x:v>Química orgánica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2</x:v>
      </x:c>
      <x:c r="K16" t="n">
        <x:v>2</x:v>
      </x:c>
      <x:c r="L16" t="n">
        <x:v>2</x:v>
      </x:c>
      <x:c r="M16" t="n">
        <x:v>2</x:v>
      </x:c>
      <x:c r="N16" t="n">
        <x:v>0</x:v>
      </x:c>
      <x:c r="O16" t="n">
        <x:v>2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</x:row>
    <x:row r="17">
      <x:c r="A17" t="str">
        <x:v>A02</x:v>
      </x:c>
      <x:c r="B17" t="str">
        <x:v>F0204</x:v>
      </x:c>
      <x:c r="C17" t="str">
        <x:v>Fisicoquímica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</x:row>
    <x:row r="18">
      <x:c r="A18" t="str">
        <x:v>A02</x:v>
      </x:c>
      <x:c r="B18" t="str">
        <x:v>F0205</x:v>
      </x:c>
      <x:c r="C18" t="str">
        <x:v>Química analítica general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2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2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</x:row>
    <x:row r="19">
      <x:c r="A19" t="str">
        <x:v>A03</x:v>
      </x:c>
      <x:c r="B19" t="str">
        <x:v>F0301</x:v>
      </x:c>
      <x:c r="C19" t="str">
        <x:v>Biología y fisiología</x:v>
      </x:c>
      <x:c r="D19" t="n">
        <x:v>2</x:v>
      </x:c>
      <x:c r="E19" t="n">
        <x:v>2</x:v>
      </x:c>
      <x:c r="F19" t="n">
        <x:v>2</x:v>
      </x:c>
      <x:c r="G19" t="n">
        <x:v>2</x:v>
      </x:c>
      <x:c r="H19" t="n">
        <x:v>2</x:v>
      </x:c>
      <x:c r="I19" t="n">
        <x:v>0</x:v>
      </x:c>
      <x:c r="J19" t="n">
        <x:v>2</x:v>
      </x:c>
      <x:c r="K19" t="n">
        <x:v>0</x:v>
      </x:c>
      <x:c r="L19" t="n">
        <x:v>2</x:v>
      </x:c>
      <x:c r="M19" t="n">
        <x:v>2</x:v>
      </x:c>
      <x:c r="N19" t="n">
        <x:v>0</x:v>
      </x:c>
      <x:c r="O19" t="n">
        <x:v>2</x:v>
      </x:c>
      <x:c r="P19" t="n">
        <x:v>2</x:v>
      </x:c>
      <x:c r="Q19" t="n">
        <x:v>2</x:v>
      </x:c>
      <x:c r="R19" t="n">
        <x:v>2</x:v>
      </x:c>
      <x:c r="S19" t="n">
        <x:v>2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2</x:v>
      </x:c>
    </x:row>
    <x:row r="20">
      <x:c r="A20" t="str">
        <x:v>A03</x:v>
      </x:c>
      <x:c r="B20" t="str">
        <x:v>F0302</x:v>
      </x:c>
      <x:c r="C20" t="str">
        <x:v>Bioquímica y metabolismo</x:v>
      </x:c>
      <x:c r="D20" t="n">
        <x:v>2</x:v>
      </x:c>
      <x:c r="E20" t="n">
        <x:v>0</x:v>
      </x:c>
      <x:c r="F20" t="n">
        <x:v>2</x:v>
      </x:c>
      <x:c r="G20" t="n">
        <x:v>2</x:v>
      </x:c>
      <x:c r="H20" t="n">
        <x:v>0</x:v>
      </x:c>
      <x:c r="I20" t="n">
        <x:v>2</x:v>
      </x:c>
      <x:c r="J20" t="n">
        <x:v>2</x:v>
      </x:c>
      <x:c r="K20" t="n">
        <x:v>2</x:v>
      </x:c>
      <x:c r="L20" t="n">
        <x:v>2</x:v>
      </x:c>
      <x:c r="M20" t="n">
        <x:v>2</x:v>
      </x:c>
      <x:c r="N20" t="n">
        <x:v>2</x:v>
      </x:c>
      <x:c r="O20" t="n">
        <x:v>0</x:v>
      </x:c>
      <x:c r="P20" t="n">
        <x:v>0</x:v>
      </x:c>
      <x:c r="Q20" t="n">
        <x:v>0</x:v>
      </x:c>
      <x:c r="R20" t="n">
        <x:v>2</x:v>
      </x:c>
      <x:c r="S20" t="n">
        <x:v>2</x:v>
      </x:c>
      <x:c r="T20" t="n">
        <x:v>0</x:v>
      </x:c>
      <x:c r="U20" t="n">
        <x:v>2</x:v>
      </x:c>
      <x:c r="V20" t="n">
        <x:v>0</x:v>
      </x:c>
      <x:c r="W20" t="n">
        <x:v>0</x:v>
      </x:c>
      <x:c r="X20" t="n">
        <x:v>0</x:v>
      </x:c>
    </x:row>
    <x:row r="21">
      <x:c r="A21" t="str">
        <x:v>A03</x:v>
      </x:c>
      <x:c r="B21" t="str">
        <x:v>F0303</x:v>
      </x:c>
      <x:c r="C21" t="str">
        <x:v>Microbiología general</x:v>
      </x:c>
      <x:c r="D21" t="n">
        <x:v>0</x:v>
      </x:c>
      <x:c r="E21" t="n">
        <x:v>2</x:v>
      </x:c>
      <x:c r="F21" t="n">
        <x:v>2</x:v>
      </x:c>
      <x:c r="G21" t="n">
        <x:v>2</x:v>
      </x:c>
      <x:c r="H21" t="n">
        <x:v>0</x:v>
      </x:c>
      <x:c r="I21" t="n">
        <x:v>2</x:v>
      </x:c>
      <x:c r="J21" t="n">
        <x:v>2</x:v>
      </x:c>
      <x:c r="K21" t="n">
        <x:v>2</x:v>
      </x:c>
      <x:c r="L21" t="n">
        <x:v>2</x:v>
      </x:c>
      <x:c r="M21" t="n">
        <x:v>2</x:v>
      </x:c>
      <x:c r="N21" t="n">
        <x:v>0</x:v>
      </x:c>
      <x:c r="O21" t="n">
        <x:v>2</x:v>
      </x:c>
      <x:c r="P21" t="n">
        <x:v>2</x:v>
      </x:c>
      <x:c r="Q21" t="n">
        <x:v>0</x:v>
      </x:c>
      <x:c r="R21" t="n">
        <x:v>2</x:v>
      </x:c>
      <x:c r="S21" t="n">
        <x:v>2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</x:row>
    <x:row r="22">
      <x:c r="A22" t="str">
        <x:v>A03</x:v>
      </x:c>
      <x:c r="B22" t="str">
        <x:v>F0304</x:v>
      </x:c>
      <x:c r="C22" t="str">
        <x:v>Microbiología alimentaria e industrial</x:v>
      </x:c>
      <x:c r="D22" t="n">
        <x:v>2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1</x:v>
      </x:c>
      <x:c r="P22" t="n">
        <x:v>2</x:v>
      </x:c>
      <x:c r="Q22" t="n">
        <x:v>0</x:v>
      </x:c>
      <x:c r="R22" t="n">
        <x:v>2</x:v>
      </x:c>
      <x:c r="S22" t="n">
        <x:v>0</x:v>
      </x:c>
      <x:c r="T22" t="n">
        <x:v>0</x:v>
      </x:c>
      <x:c r="U22" t="n">
        <x:v>2</x:v>
      </x:c>
      <x:c r="V22" t="n">
        <x:v>0</x:v>
      </x:c>
      <x:c r="W22" t="n">
        <x:v>0</x:v>
      </x:c>
      <x:c r="X22" t="n">
        <x:v>0</x:v>
      </x:c>
    </x:row>
    <x:row r="23">
      <x:c r="A23" t="str">
        <x:v>A03</x:v>
      </x:c>
      <x:c r="B23" t="str">
        <x:v>F0305</x:v>
      </x:c>
      <x:c r="C23" t="str">
        <x:v>Biotecnología y biología molecular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2</x:v>
      </x:c>
      <x:c r="K23" t="n">
        <x:v>2</x:v>
      </x:c>
      <x:c r="L23" t="n">
        <x:v>0</x:v>
      </x:c>
      <x:c r="M23" t="n">
        <x:v>0</x:v>
      </x:c>
      <x:c r="N23" t="n">
        <x:v>0</x:v>
      </x:c>
      <x:c r="O23" t="n">
        <x:v>2</x:v>
      </x:c>
      <x:c r="P23" t="n">
        <x:v>0</x:v>
      </x:c>
      <x:c r="Q23" t="n">
        <x:v>0</x:v>
      </x:c>
      <x:c r="R23" t="n">
        <x:v>2</x:v>
      </x:c>
      <x:c r="S23" t="n">
        <x:v>0</x:v>
      </x:c>
      <x:c r="T23" t="n">
        <x:v>2</x:v>
      </x:c>
      <x:c r="U23" t="n">
        <x:v>0</x:v>
      </x:c>
      <x:c r="V23" t="n">
        <x:v>0</x:v>
      </x:c>
      <x:c r="W23" t="n">
        <x:v>0</x:v>
      </x:c>
      <x:c r="X23" t="n">
        <x:v>1</x:v>
      </x:c>
    </x:row>
    <x:row r="24">
      <x:c r="A24" t="str">
        <x:v>A03</x:v>
      </x:c>
      <x:c r="B24" t="str">
        <x:v>F0306</x:v>
      </x:c>
      <x:c r="C24" t="str">
        <x:v>Bioprocesos y bioproducción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2</x:v>
      </x:c>
      <x:c r="S24" t="n">
        <x:v>0</x:v>
      </x:c>
      <x:c r="T24" t="n">
        <x:v>2</x:v>
      </x:c>
      <x:c r="U24" t="n">
        <x:v>0</x:v>
      </x:c>
      <x:c r="V24" t="n">
        <x:v>0</x:v>
      </x:c>
      <x:c r="W24" t="n">
        <x:v>0</x:v>
      </x:c>
      <x:c r="X24" t="n">
        <x:v>0</x:v>
      </x:c>
    </x:row>
    <x:row r="25">
      <x:c r="A25" t="str">
        <x:v>A04</x:v>
      </x:c>
      <x:c r="B25" t="str">
        <x:v>F0401</x:v>
      </x:c>
      <x:c r="C25" t="str">
        <x:v>Termodinámica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2</x:v>
      </x:c>
      <x:c r="K25" t="n">
        <x:v>0</x:v>
      </x:c>
      <x:c r="L25" t="n">
        <x:v>0</x:v>
      </x:c>
      <x:c r="M25" t="n">
        <x:v>0</x:v>
      </x:c>
      <x:c r="N25" t="n">
        <x:v>2</x:v>
      </x:c>
      <x:c r="O25" t="n">
        <x:v>0</x:v>
      </x:c>
      <x:c r="P25" t="n">
        <x:v>2</x:v>
      </x:c>
      <x:c r="Q25" t="n">
        <x:v>0</x:v>
      </x:c>
      <x:c r="R25" t="n">
        <x:v>2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</x:row>
    <x:row r="26">
      <x:c r="A26" t="str">
        <x:v>A04</x:v>
      </x:c>
      <x:c r="B26" t="str">
        <x:v>F0402</x:v>
      </x:c>
      <x:c r="C26" t="str">
        <x:v>Mecánica de fluidos e hidráulica</x:v>
      </x:c>
      <x:c r="D26" t="n">
        <x:v>0</x:v>
      </x:c>
      <x:c r="E26" t="n">
        <x:v>2</x:v>
      </x:c>
      <x:c r="F26" t="n">
        <x:v>2</x:v>
      </x:c>
      <x:c r="G26" t="n">
        <x:v>2</x:v>
      </x:c>
      <x:c r="H26" t="n">
        <x:v>2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2</x:v>
      </x:c>
      <x:c r="Q26" t="n">
        <x:v>0</x:v>
      </x:c>
      <x:c r="R26" t="n">
        <x:v>2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</x:row>
    <x:row r="27">
      <x:c r="A27" t="str">
        <x:v>A04</x:v>
      </x:c>
      <x:c r="B27" t="str">
        <x:v>F0403</x:v>
      </x:c>
      <x:c r="C27" t="str">
        <x:v>Transferencia de calor</x:v>
      </x:c>
      <x:c r="D27" t="n">
        <x:v>2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2</x:v>
      </x:c>
      <x:c r="K27" t="n">
        <x:v>2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</x:row>
    <x:row r="28">
      <x:c r="A28" t="str">
        <x:v>A04</x:v>
      </x:c>
      <x:c r="B28" t="str">
        <x:v>F0404</x:v>
      </x:c>
      <x:c r="C28" t="str">
        <x:v>Transferencia de masa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2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</x:row>
    <x:row r="29">
      <x:c r="A29" t="str">
        <x:v>A04</x:v>
      </x:c>
      <x:c r="B29" t="str">
        <x:v>F0405</x:v>
      </x:c>
      <x:c r="C29" t="str">
        <x:v>Mecánica, resistencia y materiales</x:v>
      </x:c>
      <x:c r="D29" t="n">
        <x:v>2</x:v>
      </x:c>
      <x:c r="E29" t="n">
        <x:v>0</x:v>
      </x:c>
      <x:c r="F29" t="n">
        <x:v>0</x:v>
      </x:c>
      <x:c r="G29" t="n">
        <x:v>2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2</x:v>
      </x:c>
      <x:c r="O29" t="n">
        <x:v>0</x:v>
      </x:c>
      <x:c r="P29" t="n">
        <x:v>2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</x:row>
    <x:row r="30">
      <x:c r="A30" t="str">
        <x:v>A04</x:v>
      </x:c>
      <x:c r="B30" t="str">
        <x:v>F0406</x:v>
      </x:c>
      <x:c r="C30" t="str">
        <x:v>Estructuras y construcción básica</x:v>
      </x:c>
      <x:c r="D30" t="n">
        <x:v>2</x:v>
      </x:c>
      <x:c r="E30" t="n">
        <x:v>2</x:v>
      </x:c>
      <x:c r="F30" t="n">
        <x:v>2</x:v>
      </x:c>
      <x:c r="G30" t="n">
        <x:v>0</x:v>
      </x:c>
      <x:c r="H30" t="n">
        <x:v>2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</x:row>
    <x:row r="31">
      <x:c r="A31" t="str">
        <x:v>A04</x:v>
      </x:c>
      <x:c r="B31" t="str">
        <x:v>F0407</x:v>
      </x:c>
      <x:c r="C31" t="str">
        <x:v>Electrotecnia y electrónica</x:v>
      </x:c>
      <x:c r="D31" t="n">
        <x:v>2</x:v>
      </x:c>
      <x:c r="E31" t="n">
        <x:v>2</x:v>
      </x:c>
      <x:c r="F31" t="n">
        <x:v>0</x:v>
      </x:c>
      <x:c r="G31" t="n">
        <x:v>2</x:v>
      </x:c>
      <x:c r="H31" t="n">
        <x:v>2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1</x:v>
      </x:c>
      <x:c r="Q31" t="n">
        <x:v>2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</x:row>
    <x:row r="32">
      <x:c r="A32" t="str">
        <x:v>A05</x:v>
      </x:c>
      <x:c r="B32" t="str">
        <x:v>F0501</x:v>
      </x:c>
      <x:c r="C32" t="str">
        <x:v>Balances de materia y energía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</x:row>
    <x:row r="33">
      <x:c r="A33" t="str">
        <x:v>A05</x:v>
      </x:c>
      <x:c r="B33" t="str">
        <x:v>F0502</x:v>
      </x:c>
      <x:c r="C33" t="str">
        <x:v>Operaciones unitarias generales</x:v>
      </x:c>
      <x:c r="D33" t="n">
        <x:v>2</x:v>
      </x:c>
      <x:c r="E33" t="n">
        <x:v>2</x:v>
      </x:c>
      <x:c r="F33" t="n">
        <x:v>2</x:v>
      </x:c>
      <x:c r="G33" t="n">
        <x:v>2</x:v>
      </x:c>
      <x:c r="H33" t="n">
        <x:v>2</x:v>
      </x:c>
      <x:c r="I33" t="n">
        <x:v>2</x:v>
      </x:c>
      <x:c r="J33" t="n">
        <x:v>0</x:v>
      </x:c>
      <x:c r="K33" t="n">
        <x:v>2</x:v>
      </x:c>
      <x:c r="L33" t="n">
        <x:v>2</x:v>
      </x:c>
      <x:c r="M33" t="n">
        <x:v>2</x:v>
      </x:c>
      <x:c r="N33" t="n">
        <x:v>2</x:v>
      </x:c>
      <x:c r="O33" t="n">
        <x:v>2</x:v>
      </x:c>
      <x:c r="P33" t="n">
        <x:v>0</x:v>
      </x:c>
      <x:c r="Q33" t="n">
        <x:v>0</x:v>
      </x:c>
      <x:c r="R33" t="n">
        <x:v>2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</x:row>
    <x:row r="34">
      <x:c r="A34" t="str">
        <x:v>A05</x:v>
      </x:c>
      <x:c r="B34" t="str">
        <x:v>F0503</x:v>
      </x:c>
      <x:c r="C34" t="str">
        <x:v>Tratamientos térmicos y esterilización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2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</x:row>
    <x:row r="35">
      <x:c r="A35" t="str">
        <x:v>A05</x:v>
      </x:c>
      <x:c r="B35" t="str">
        <x:v>F0504</x:v>
      </x:c>
      <x:c r="C35" t="str">
        <x:v>Refrigeración, congelación y cadena de frío</x:v>
      </x:c>
      <x:c r="D35" t="n">
        <x:v>2</x:v>
      </x:c>
      <x:c r="E35" t="n">
        <x:v>0</x:v>
      </x:c>
      <x:c r="F35" t="n">
        <x:v>0</x:v>
      </x:c>
      <x:c r="G35" t="n">
        <x:v>0</x:v>
      </x:c>
      <x:c r="H35" t="n">
        <x:v>2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2</x:v>
      </x:c>
      <x:c r="U35" t="n">
        <x:v>0</x:v>
      </x:c>
      <x:c r="V35" t="n">
        <x:v>0</x:v>
      </x:c>
      <x:c r="W35" t="n">
        <x:v>0</x:v>
      </x:c>
      <x:c r="X35" t="n">
        <x:v>0</x:v>
      </x:c>
    </x:row>
    <x:row r="36">
      <x:c r="A36" t="str">
        <x:v>A05</x:v>
      </x:c>
      <x:c r="B36" t="str">
        <x:v>F0505</x:v>
      </x:c>
      <x:c r="C36" t="str">
        <x:v>Secado y deshidratación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2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</x:row>
    <x:row r="37">
      <x:c r="A37" t="str">
        <x:v>A05</x:v>
      </x:c>
      <x:c r="B37" t="str">
        <x:v>F0506</x:v>
      </x:c>
      <x:c r="C37" t="str">
        <x:v>Evaporación y concentración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</x:row>
    <x:row r="38">
      <x:c r="A38" t="str">
        <x:v>A05</x:v>
      </x:c>
      <x:c r="B38" t="str">
        <x:v>F0507</x:v>
      </x:c>
      <x:c r="C38" t="str">
        <x:v>Destilación, extracción y absorción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</x:row>
    <x:row r="39">
      <x:c r="A39" t="str">
        <x:v>A05</x:v>
      </x:c>
      <x:c r="B39" t="str">
        <x:v>F0508</x:v>
      </x:c>
      <x:c r="C39" t="str">
        <x:v>Membranas y separaciones avanzadas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</x:row>
    <x:row r="40">
      <x:c r="A40" t="str">
        <x:v>A05</x:v>
      </x:c>
      <x:c r="B40" t="str">
        <x:v>F0509</x:v>
      </x:c>
      <x:c r="C40" t="str">
        <x:v>Ingeniería de reactores y cinética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2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</x:row>
    <x:row r="41">
      <x:c r="A41" t="str">
        <x:v>A05</x:v>
      </x:c>
      <x:c r="B41" t="str">
        <x:v>F0510</x:v>
      </x:c>
      <x:c r="C41" t="str">
        <x:v>Modelización, simulación y optimización de procesos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</x:row>
    <x:row r="42">
      <x:c r="A42" t="str">
        <x:v>A06</x:v>
      </x:c>
      <x:c r="B42" t="str">
        <x:v>F0601</x:v>
      </x:c>
      <x:c r="C42" t="str">
        <x:v>Química y bioquímica de alimentos</x:v>
      </x:c>
      <x:c r="D42" t="n">
        <x:v>0</x:v>
      </x:c>
      <x:c r="E42" t="n">
        <x:v>2</x:v>
      </x:c>
      <x:c r="F42" t="n">
        <x:v>0</x:v>
      </x:c>
      <x:c r="G42" t="n">
        <x:v>0</x:v>
      </x:c>
      <x:c r="H42" t="n">
        <x:v>0</x:v>
      </x:c>
      <x:c r="I42" t="n">
        <x:v>2</x:v>
      </x:c>
      <x:c r="J42" t="n">
        <x:v>2</x:v>
      </x:c>
      <x:c r="K42" t="n">
        <x:v>2</x:v>
      </x:c>
      <x:c r="L42" t="n">
        <x:v>2</x:v>
      </x:c>
      <x:c r="M42" t="n">
        <x:v>0</x:v>
      </x:c>
      <x:c r="N42" t="n">
        <x:v>0</x:v>
      </x:c>
      <x:c r="O42" t="n">
        <x:v>2</x:v>
      </x:c>
      <x:c r="P42" t="n">
        <x:v>2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</x:row>
    <x:row r="43">
      <x:c r="A43" t="str">
        <x:v>A06</x:v>
      </x:c>
      <x:c r="B43" t="str">
        <x:v>F0602</x:v>
      </x:c>
      <x:c r="C43" t="str">
        <x:v>Física, reología y estructura de alimentos</x:v>
      </x:c>
      <x:c r="D43" t="n">
        <x:v>0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2</x:v>
      </x:c>
      <x:c r="J43" t="n">
        <x:v>2</x:v>
      </x:c>
      <x:c r="K43" t="n">
        <x:v>2</x:v>
      </x:c>
      <x:c r="L43" t="n">
        <x:v>0</x:v>
      </x:c>
      <x:c r="M43" t="n">
        <x:v>0</x:v>
      </x:c>
      <x:c r="N43" t="n">
        <x:v>0</x:v>
      </x:c>
      <x:c r="O43" t="n">
        <x:v>1</x:v>
      </x:c>
      <x:c r="P43" t="n">
        <x:v>0</x:v>
      </x:c>
      <x:c r="Q43" t="n">
        <x:v>0</x:v>
      </x:c>
      <x:c r="R43" t="n">
        <x:v>2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</x:row>
    <x:row r="44">
      <x:c r="A44" t="str">
        <x:v>A06</x:v>
      </x:c>
      <x:c r="B44" t="str">
        <x:v>F0603</x:v>
      </x:c>
      <x:c r="C44" t="str">
        <x:v>Ingredientes y funcionalidad tecnológica</x:v>
      </x:c>
      <x:c r="D44" t="n">
        <x:v>0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2</x:v>
      </x:c>
      <x:c r="L44" t="n">
        <x:v>2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</x:row>
    <x:row r="45">
      <x:c r="A45" t="str">
        <x:v>A06</x:v>
      </x:c>
      <x:c r="B45" t="str">
        <x:v>F0604</x:v>
      </x:c>
      <x:c r="C45" t="str">
        <x:v>Tecnología / procesamiento general de alimentos</x:v>
      </x:c>
      <x:c r="D45" t="n">
        <x:v>0</x:v>
      </x:c>
      <x:c r="E45" t="n">
        <x:v>2</x:v>
      </x:c>
      <x:c r="F45" t="n">
        <x:v>2</x:v>
      </x:c>
      <x:c r="G45" t="n">
        <x:v>0</x:v>
      </x:c>
      <x:c r="H45" t="n">
        <x:v>0</x:v>
      </x:c>
      <x:c r="I45" t="n">
        <x:v>2</x:v>
      </x:c>
      <x:c r="J45" t="n">
        <x:v>2</x:v>
      </x:c>
      <x:c r="K45" t="n">
        <x:v>0</x:v>
      </x:c>
      <x:c r="L45" t="n">
        <x:v>2</x:v>
      </x:c>
      <x:c r="M45" t="n">
        <x:v>2</x:v>
      </x:c>
      <x:c r="N45" t="n">
        <x:v>0</x:v>
      </x:c>
      <x:c r="O45" t="n">
        <x:v>2</x:v>
      </x:c>
      <x:c r="P45" t="n">
        <x:v>2</x:v>
      </x:c>
      <x:c r="Q45" t="n">
        <x:v>0</x:v>
      </x:c>
      <x:c r="R45" t="n">
        <x:v>0</x:v>
      </x:c>
      <x:c r="S45" t="n">
        <x:v>2</x:v>
      </x:c>
      <x:c r="T45" t="n">
        <x:v>0</x:v>
      </x:c>
      <x:c r="U45" t="n">
        <x:v>2</x:v>
      </x:c>
      <x:c r="V45" t="n">
        <x:v>0</x:v>
      </x:c>
      <x:c r="W45" t="n">
        <x:v>0</x:v>
      </x:c>
      <x:c r="X45" t="n">
        <x:v>0</x:v>
      </x:c>
    </x:row>
    <x:row r="46">
      <x:c r="A46" t="str">
        <x:v>A06</x:v>
      </x:c>
      <x:c r="B46" t="str">
        <x:v>F0605</x:v>
      </x:c>
      <x:c r="C46" t="str">
        <x:v>Conservación de alimentos y tecnologías emergentes</x:v>
      </x:c>
      <x:c r="D46" t="n">
        <x:v>2</x:v>
      </x:c>
      <x:c r="E46" t="n">
        <x:v>2</x:v>
      </x:c>
      <x:c r="F46" t="n">
        <x:v>0</x:v>
      </x:c>
      <x:c r="G46" t="n">
        <x:v>0</x:v>
      </x:c>
      <x:c r="H46" t="n">
        <x:v>2</x:v>
      </x:c>
      <x:c r="I46" t="n">
        <x:v>2</x:v>
      </x:c>
      <x:c r="J46" t="n">
        <x:v>0</x:v>
      </x:c>
      <x:c r="K46" t="n">
        <x:v>2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</x:row>
    <x:row r="47">
      <x:c r="A47" t="str">
        <x:v>A06</x:v>
      </x:c>
      <x:c r="B47" t="str">
        <x:v>F0606</x:v>
      </x:c>
      <x:c r="C47" t="str">
        <x:v>Formulación y diseño tecnológico del alimento</x:v>
      </x:c>
      <x:c r="D47" t="n">
        <x:v>0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2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2</x:v>
      </x:c>
      <x:c r="U47" t="n">
        <x:v>0</x:v>
      </x:c>
      <x:c r="V47" t="n">
        <x:v>0</x:v>
      </x:c>
      <x:c r="W47" t="n">
        <x:v>0</x:v>
      </x:c>
      <x:c r="X47" t="n">
        <x:v>0</x:v>
      </x:c>
    </x:row>
    <x:row r="48">
      <x:c r="A48" t="str">
        <x:v>A07</x:v>
      </x:c>
      <x:c r="B48" t="str">
        <x:v>F0701</x:v>
      </x:c>
      <x:c r="C48" t="str">
        <x:v>Tecnología de lácteos</x:v>
      </x:c>
      <x:c r="D48" t="n">
        <x:v>2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2</x:v>
      </x:c>
      <x:c r="J48" t="n">
        <x:v>0</x:v>
      </x:c>
      <x:c r="K48" t="n">
        <x:v>2</x:v>
      </x:c>
      <x:c r="L48" t="n">
        <x:v>0</x:v>
      </x:c>
      <x:c r="M48" t="n">
        <x:v>0</x:v>
      </x:c>
      <x:c r="N48" t="n">
        <x:v>0</x:v>
      </x:c>
      <x:c r="O48" t="n">
        <x:v>1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</x:row>
    <x:row r="49">
      <x:c r="A49" t="str">
        <x:v>A07</x:v>
      </x:c>
      <x:c r="B49" t="str">
        <x:v>F0702</x:v>
      </x:c>
      <x:c r="C49" t="str">
        <x:v>Tecnología de carnes, aves y pescado</x:v>
      </x:c>
      <x:c r="D49" t="n">
        <x:v>2</x:v>
      </x:c>
      <x:c r="E49" t="n">
        <x:v>2</x:v>
      </x:c>
      <x:c r="F49" t="n">
        <x:v>2</x:v>
      </x:c>
      <x:c r="G49" t="n">
        <x:v>2</x:v>
      </x:c>
      <x:c r="H49" t="n">
        <x:v>0</x:v>
      </x:c>
      <x:c r="I49" t="n">
        <x:v>2</x:v>
      </x:c>
      <x:c r="J49" t="n">
        <x:v>0</x:v>
      </x:c>
      <x:c r="K49" t="n">
        <x:v>2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</x:row>
    <x:row r="50">
      <x:c r="A50" t="str">
        <x:v>A07</x:v>
      </x:c>
      <x:c r="B50" t="str">
        <x:v>F0703</x:v>
      </x:c>
      <x:c r="C50" t="str">
        <x:v>Tecnología de cereales y derivados</x:v>
      </x:c>
      <x:c r="D50" t="n">
        <x:v>2</x:v>
      </x:c>
      <x:c r="E50" t="n">
        <x:v>2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2</x:v>
      </x:c>
      <x:c r="L50" t="n">
        <x:v>1</x:v>
      </x:c>
      <x:c r="M50" t="n">
        <x:v>0</x:v>
      </x:c>
      <x:c r="N50" t="n">
        <x:v>0</x:v>
      </x:c>
      <x:c r="O50" t="n">
        <x:v>1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</x:row>
    <x:row r="51">
      <x:c r="A51" t="str">
        <x:v>A07</x:v>
      </x:c>
      <x:c r="B51" t="str">
        <x:v>F0704</x:v>
      </x:c>
      <x:c r="C51" t="str">
        <x:v>Tecnología de frutas, hortalizas y zumos</x:v>
      </x:c>
      <x:c r="D51" t="n">
        <x:v>1</x:v>
      </x:c>
      <x:c r="E51" t="n">
        <x:v>0</x:v>
      </x:c>
      <x:c r="F51" t="n">
        <x:v>0</x:v>
      </x:c>
      <x:c r="G51" t="n">
        <x:v>2</x:v>
      </x:c>
      <x:c r="H51" t="n">
        <x:v>2</x:v>
      </x:c>
      <x:c r="I51" t="n">
        <x:v>2</x:v>
      </x:c>
      <x:c r="J51" t="n">
        <x:v>0</x:v>
      </x:c>
      <x:c r="K51" t="n">
        <x:v>2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2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</x:row>
    <x:row r="52">
      <x:c r="A52" t="str">
        <x:v>A07</x:v>
      </x:c>
      <x:c r="B52" t="str">
        <x:v>F0705</x:v>
      </x:c>
      <x:c r="C52" t="str">
        <x:v>Tecnología de aceites y grasas</x:v>
      </x:c>
      <x:c r="D52" t="n">
        <x:v>1</x:v>
      </x:c>
      <x:c r="E52" t="n">
        <x:v>0</x:v>
      </x:c>
      <x:c r="F52" t="n">
        <x:v>0</x:v>
      </x:c>
      <x:c r="G52" t="n">
        <x:v>2</x:v>
      </x:c>
      <x:c r="H52" t="n">
        <x:v>0</x:v>
      </x:c>
      <x:c r="I52" t="n">
        <x:v>2</x:v>
      </x:c>
      <x:c r="J52" t="n">
        <x:v>0</x:v>
      </x:c>
      <x:c r="K52" t="n">
        <x:v>2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</x:row>
    <x:row r="53">
      <x:c r="A53" t="str">
        <x:v>A07</x:v>
      </x:c>
      <x:c r="B53" t="str">
        <x:v>F0706</x:v>
      </x:c>
      <x:c r="C53" t="str">
        <x:v>Tecnología de vino, cerveza y bebidas alcohólicas</x:v>
      </x:c>
      <x:c r="D53" t="n">
        <x:v>2</x:v>
      </x:c>
      <x:c r="E53" t="n">
        <x:v>2</x:v>
      </x:c>
      <x:c r="F53" t="n">
        <x:v>0</x:v>
      </x:c>
      <x:c r="G53" t="n">
        <x:v>2</x:v>
      </x:c>
      <x:c r="H53" t="n">
        <x:v>0</x:v>
      </x:c>
      <x:c r="I53" t="n">
        <x:v>2</x:v>
      </x:c>
      <x:c r="J53" t="n">
        <x:v>0</x:v>
      </x:c>
      <x:c r="K53" t="n">
        <x:v>2</x:v>
      </x:c>
      <x:c r="L53" t="n">
        <x:v>2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1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</x:row>
    <x:row r="54">
      <x:c r="A54" t="str">
        <x:v>A07</x:v>
      </x:c>
      <x:c r="B54" t="str">
        <x:v>F0707</x:v>
      </x:c>
      <x:c r="C54" t="str">
        <x:v>Fermentaciones y productos fermentados</x:v>
      </x:c>
      <x:c r="D54" t="n">
        <x:v>0</x:v>
      </x:c>
      <x:c r="E54" t="n">
        <x:v>0</x:v>
      </x:c>
      <x:c r="F54" t="n">
        <x:v>2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</x:row>
    <x:row r="55">
      <x:c r="A55" t="str">
        <x:v>A07</x:v>
      </x:c>
      <x:c r="B55" t="str">
        <x:v>F0708</x:v>
      </x:c>
      <x:c r="C55" t="str">
        <x:v>Tecnología de recursos marinos</x:v>
      </x:c>
      <x:c r="D55" t="n">
        <x:v>0</x:v>
      </x:c>
      <x:c r="E55" t="n">
        <x:v>0</x:v>
      </x:c>
      <x:c r="F55" t="n">
        <x:v>0</x:v>
      </x:c>
      <x:c r="G55" t="n">
        <x:v>0</x:v>
      </x:c>
      <x:c r="H55" t="n">
        <x:v>0</x:v>
      </x:c>
      <x:c r="I55" t="n">
        <x:v>2</x:v>
      </x:c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</x:row>
    <x:row r="56">
      <x:c r="A56" t="str">
        <x:v>A07</x:v>
      </x:c>
      <x:c r="B56" t="str">
        <x:v>F0709</x:v>
      </x:c>
      <x:c r="C56" t="str">
        <x:v>Alimentos alternativos y proteínas emergentes</x:v>
      </x:c>
      <x:c r="D56" t="n">
        <x:v>0</x:v>
      </x:c>
      <x:c r="E56" t="n">
        <x:v>0</x:v>
      </x:c>
      <x:c r="F56" t="n">
        <x:v>0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1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1</x:v>
      </x:c>
      <x:c r="W56" t="n">
        <x:v>0</x:v>
      </x:c>
      <x:c r="X56" t="n">
        <x:v>0</x:v>
      </x:c>
    </x:row>
    <x:row r="57">
      <x:c r="A57" t="str">
        <x:v>A07</x:v>
      </x:c>
      <x:c r="B57" t="str">
        <x:v>F0710</x:v>
      </x:c>
      <x:c r="C57" t="str">
        <x:v>Otras industrias alimentarias y extractivas</x:v>
      </x:c>
      <x:c r="D57" t="n">
        <x:v>0</x:v>
      </x:c>
      <x:c r="E57" t="n">
        <x:v>0</x:v>
      </x:c>
      <x:c r="F57" t="n">
        <x:v>2</x:v>
      </x:c>
      <x:c r="G57" t="n">
        <x:v>0</x:v>
      </x:c>
      <x:c r="H57" t="n">
        <x:v>2</x:v>
      </x:c>
      <x:c r="I57" t="n">
        <x:v>0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1</x:v>
      </x:c>
      <x:c r="P57" t="n">
        <x:v>0</x:v>
      </x:c>
      <x:c r="Q57" t="n">
        <x:v>0</x:v>
      </x:c>
      <x:c r="R57" t="n">
        <x:v>2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</x:row>
    <x:row r="58">
      <x:c r="A58" t="str">
        <x:v>A08</x:v>
      </x:c>
      <x:c r="B58" t="str">
        <x:v>F0801</x:v>
      </x:c>
      <x:c r="C58" t="str">
        <x:v>Análisis químico, físico e instrumental de alimentos</x:v>
      </x:c>
      <x:c r="D58" t="n">
        <x:v>2</x:v>
      </x:c>
      <x:c r="E58" t="n">
        <x:v>0</x:v>
      </x:c>
      <x:c r="F58" t="n">
        <x:v>2</x:v>
      </x:c>
      <x:c r="G58" t="n">
        <x:v>0</x:v>
      </x:c>
      <x:c r="H58" t="n">
        <x:v>2</x:v>
      </x:c>
      <x:c r="I58" t="n">
        <x:v>0</x:v>
      </x:c>
      <x:c r="J58" t="n">
        <x:v>0</x:v>
      </x:c>
      <x:c r="K58" t="n">
        <x:v>2</x:v>
      </x:c>
      <x:c r="L58" t="n">
        <x:v>2</x:v>
      </x:c>
      <x:c r="M58" t="n">
        <x:v>2</x:v>
      </x:c>
      <x:c r="N58" t="n">
        <x:v>0</x:v>
      </x:c>
      <x:c r="O58" t="n">
        <x:v>0</x:v>
      </x:c>
      <x:c r="P58" t="n">
        <x:v>2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</x:row>
    <x:row r="59">
      <x:c r="A59" t="str">
        <x:v>A08</x:v>
      </x:c>
      <x:c r="B59" t="str">
        <x:v>F0802</x:v>
      </x:c>
      <x:c r="C59" t="str">
        <x:v>Análisis sensorial y evaluación organoléptica</x:v>
      </x:c>
      <x:c r="D59" t="n">
        <x:v>0</x:v>
      </x:c>
      <x:c r="E59" t="n">
        <x:v>2</x:v>
      </x:c>
      <x:c r="F59" t="n">
        <x:v>1</x:v>
      </x:c>
      <x:c r="G59" t="n">
        <x:v>0</x:v>
      </x:c>
      <x:c r="H59" t="n">
        <x:v>0</x:v>
      </x:c>
      <x:c r="I59" t="n">
        <x:v>2</x:v>
      </x:c>
      <x:c r="J59" t="n">
        <x:v>0</x:v>
      </x:c>
      <x:c r="K59" t="n">
        <x:v>2</x:v>
      </x:c>
      <x:c r="L59" t="n">
        <x:v>0</x:v>
      </x:c>
      <x:c r="M59" t="n">
        <x:v>0</x:v>
      </x:c>
      <x:c r="N59" t="n">
        <x:v>0</x:v>
      </x:c>
      <x:c r="O59" t="n">
        <x:v>1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2</x:v>
      </x:c>
      <x:c r="U59" t="n">
        <x:v>0</x:v>
      </x:c>
      <x:c r="V59" t="n">
        <x:v>0</x:v>
      </x:c>
      <x:c r="W59" t="n">
        <x:v>0</x:v>
      </x:c>
      <x:c r="X59" t="n">
        <x:v>0</x:v>
      </x:c>
    </x:row>
    <x:row r="60">
      <x:c r="A60" t="str">
        <x:v>A08</x:v>
      </x:c>
      <x:c r="B60" t="str">
        <x:v>F0803</x:v>
      </x:c>
      <x:c r="C60" t="str">
        <x:v>Gestión y aseguramiento de la calidad</x:v>
      </x:c>
      <x:c r="D60" t="n">
        <x:v>2</x:v>
      </x:c>
      <x:c r="E60" t="n">
        <x:v>2</x:v>
      </x:c>
      <x:c r="F60" t="n">
        <x:v>2</x:v>
      </x:c>
      <x:c r="G60" t="n">
        <x:v>2</x:v>
      </x:c>
      <x:c r="H60" t="n">
        <x:v>2</x:v>
      </x:c>
      <x:c r="I60" t="n">
        <x:v>2</x:v>
      </x:c>
      <x:c r="J60" t="n">
        <x:v>2</x:v>
      </x:c>
      <x:c r="K60" t="n">
        <x:v>2</x:v>
      </x:c>
      <x:c r="L60" t="n">
        <x:v>2</x:v>
      </x:c>
      <x:c r="M60" t="n">
        <x:v>2</x:v>
      </x:c>
      <x:c r="N60" t="n">
        <x:v>0</x:v>
      </x:c>
      <x:c r="O60" t="n">
        <x:v>1</x:v>
      </x:c>
      <x:c r="P60" t="n">
        <x:v>0</x:v>
      </x:c>
      <x:c r="Q60" t="n">
        <x:v>0</x:v>
      </x:c>
      <x:c r="R60" t="n">
        <x:v>0</x:v>
      </x:c>
      <x:c r="S60" t="n">
        <x:v>2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2</x:v>
      </x:c>
    </x:row>
    <x:row r="61">
      <x:c r="A61" t="str">
        <x:v>A08</x:v>
      </x:c>
      <x:c r="B61" t="str">
        <x:v>F0804</x:v>
      </x:c>
      <x:c r="C61" t="str">
        <x:v>Inocuidad y seguridad alimentaria / HACCP</x:v>
      </x:c>
      <x:c r="D61" t="n">
        <x:v>0</x:v>
      </x:c>
      <x:c r="E61" t="n">
        <x:v>2</x:v>
      </x:c>
      <x:c r="F61" t="n">
        <x:v>2</x:v>
      </x:c>
      <x:c r="G61" t="n">
        <x:v>0</x:v>
      </x:c>
      <x:c r="H61" t="n">
        <x:v>0</x:v>
      </x:c>
      <x:c r="I61" t="n">
        <x:v>2</x:v>
      </x:c>
      <x:c r="J61" t="n">
        <x:v>2</x:v>
      </x:c>
      <x:c r="K61" t="n">
        <x:v>2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2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</x:row>
    <x:row r="62">
      <x:c r="A62" t="str">
        <x:v>A08</x:v>
      </x:c>
      <x:c r="B62" t="str">
        <x:v>F0805</x:v>
      </x:c>
      <x:c r="C62" t="str">
        <x:v>Higiene, saneamiento y diseño higiénico</x:v>
      </x:c>
      <x:c r="D62" t="n">
        <x:v>0</x:v>
      </x:c>
      <x:c r="E62" t="n">
        <x:v>0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2</x:v>
      </x:c>
      <x:c r="M62" t="n">
        <x:v>2</x:v>
      </x:c>
      <x:c r="N62" t="n">
        <x:v>0</x:v>
      </x:c>
      <x:c r="O62" t="n">
        <x:v>0</x:v>
      </x:c>
      <x:c r="P62" t="n">
        <x:v>2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</x:row>
    <x:row r="63">
      <x:c r="A63" t="str">
        <x:v>A08</x:v>
      </x:c>
      <x:c r="B63" t="str">
        <x:v>F0806</x:v>
      </x:c>
      <x:c r="C63" t="str">
        <x:v>Derecho, regulación y etiquetado alimentario</x:v>
      </x:c>
      <x:c r="D63" t="n">
        <x:v>0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2</x:v>
      </x:c>
      <x:c r="M63" t="n">
        <x:v>0</x:v>
      </x:c>
      <x:c r="N63" t="n">
        <x:v>0</x:v>
      </x:c>
      <x:c r="O63" t="n">
        <x:v>0</x:v>
      </x:c>
      <x:c r="P63" t="n">
        <x:v>1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</x:row>
    <x:row r="64">
      <x:c r="A64" t="str">
        <x:v>A08</x:v>
      </x:c>
      <x:c r="B64" t="str">
        <x:v>F0807</x:v>
      </x:c>
      <x:c r="C64" t="str">
        <x:v>Trazabilidad, certificación y auditoría</x:v>
      </x:c>
      <x:c r="D64" t="n">
        <x:v>0</x:v>
      </x:c>
      <x:c r="E64" t="n">
        <x:v>0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</x:row>
    <x:row r="65">
      <x:c r="A65" t="str">
        <x:v>A09</x:v>
      </x:c>
      <x:c r="B65" t="str">
        <x:v>F0901</x:v>
      </x:c>
      <x:c r="C65" t="str">
        <x:v>Diseño de plantas e industrias alimentarias</x:v>
      </x:c>
      <x:c r="D65" t="n">
        <x:v>0</x:v>
      </x:c>
      <x:c r="E65" t="n">
        <x:v>0</x:v>
      </x:c>
      <x:c r="F65" t="n">
        <x:v>2</x:v>
      </x:c>
      <x:c r="G65" t="n">
        <x:v>2</x:v>
      </x:c>
      <x:c r="H65" t="n">
        <x:v>0</x:v>
      </x:c>
      <x:c r="I65" t="n">
        <x:v>0</x:v>
      </x:c>
      <x:c r="J65" t="n">
        <x:v>2</x:v>
      </x:c>
      <x:c r="K65" t="n">
        <x:v>0</x:v>
      </x:c>
      <x:c r="L65" t="n">
        <x:v>0</x:v>
      </x:c>
      <x:c r="M65" t="n">
        <x:v>0</x:v>
      </x:c>
      <x:c r="N65" t="n">
        <x:v>2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</x:row>
    <x:row r="66">
      <x:c r="A66" t="str">
        <x:v>A09</x:v>
      </x:c>
      <x:c r="B66" t="str">
        <x:v>F0902</x:v>
      </x:c>
      <x:c r="C66" t="str">
        <x:v>Maquinaria y equipos de proceso</x:v>
      </x:c>
      <x:c r="D66" t="n">
        <x:v>0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2</x:v>
      </x:c>
      <x:c r="L66" t="n">
        <x:v>0</x:v>
      </x:c>
      <x:c r="M66" t="n">
        <x:v>2</x:v>
      </x:c>
      <x:c r="N66" t="n">
        <x:v>0</x:v>
      </x:c>
      <x:c r="O66" t="n">
        <x:v>0</x:v>
      </x:c>
      <x:c r="P66" t="n">
        <x:v>1</x:v>
      </x:c>
      <x:c r="Q66" t="n">
        <x:v>0</x:v>
      </x:c>
      <x:c r="R66" t="n">
        <x:v>2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</x:row>
    <x:row r="67">
      <x:c r="A67" t="str">
        <x:v>A09</x:v>
      </x:c>
      <x:c r="B67" t="str">
        <x:v>F0903</x:v>
      </x:c>
      <x:c r="C67" t="str">
        <x:v>Instalaciones y servicios auxiliares</x:v>
      </x:c>
      <x:c r="D67" t="n">
        <x:v>0</x:v>
      </x:c>
      <x:c r="E67" t="n">
        <x:v>2</x:v>
      </x:c>
      <x:c r="F67" t="n">
        <x:v>0</x:v>
      </x:c>
      <x:c r="G67" t="n">
        <x:v>2</x:v>
      </x:c>
      <x:c r="H67" t="n">
        <x:v>2</x:v>
      </x:c>
      <x:c r="I67" t="n">
        <x:v>0</x:v>
      </x:c>
      <x:c r="J67" t="n">
        <x:v>0</x:v>
      </x:c>
      <x:c r="K67" t="n">
        <x:v>0</x:v>
      </x:c>
      <x:c r="L67" t="n">
        <x:v>2</x:v>
      </x:c>
      <x:c r="M67" t="n">
        <x:v>0</x:v>
      </x:c>
      <x:c r="N67" t="n">
        <x:v>2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</x:row>
    <x:row r="68">
      <x:c r="A68" t="str">
        <x:v>A09</x:v>
      </x:c>
      <x:c r="B68" t="str">
        <x:v>F0904</x:v>
      </x:c>
      <x:c r="C68" t="str">
        <x:v>Construcciones agroindustriales</x:v>
      </x:c>
      <x:c r="D68" t="n">
        <x:v>0</x:v>
      </x:c>
      <x:c r="E68" t="n">
        <x:v>2</x:v>
      </x:c>
      <x:c r="F68" t="n">
        <x:v>0</x:v>
      </x:c>
      <x:c r="G68" t="n">
        <x:v>2</x:v>
      </x:c>
      <x:c r="H68" t="n">
        <x:v>2</x:v>
      </x:c>
      <x:c r="I68" t="n">
        <x:v>0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</x:row>
    <x:row r="69">
      <x:c r="A69" t="str">
        <x:v>A09</x:v>
      </x:c>
      <x:c r="B69" t="str">
        <x:v>F0905</x:v>
      </x:c>
      <x:c r="C69" t="str">
        <x:v>Automatización, control e instrumentación</x:v>
      </x:c>
      <x:c r="D69" t="n">
        <x:v>2</x:v>
      </x:c>
      <x:c r="E69" t="n">
        <x:v>2</x:v>
      </x:c>
      <x:c r="F69" t="n">
        <x:v>0</x:v>
      </x:c>
      <x:c r="G69" t="n">
        <x:v>0</x:v>
      </x:c>
      <x:c r="H69" t="n">
        <x:v>2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2</x:v>
      </x:c>
      <x:c r="O69" t="n">
        <x:v>0</x:v>
      </x:c>
      <x:c r="P69" t="n">
        <x:v>0</x:v>
      </x:c>
      <x:c r="Q69" t="n">
        <x:v>0</x:v>
      </x:c>
      <x:c r="R69" t="n">
        <x:v>2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</x:row>
    <x:row r="70">
      <x:c r="A70" t="str">
        <x:v>A09</x:v>
      </x:c>
      <x:c r="B70" t="str">
        <x:v>F0906</x:v>
      </x:c>
      <x:c r="C70" t="str">
        <x:v>Robótica, digitalización e Industria 4.0</x:v>
      </x:c>
      <x:c r="D70" t="n">
        <x:v>1</x:v>
      </x:c>
      <x:c r="E70" t="n">
        <x:v>0</x:v>
      </x:c>
      <x:c r="F70" t="n">
        <x:v>1</x:v>
      </x:c>
      <x:c r="G70" t="n">
        <x:v>0</x:v>
      </x:c>
      <x:c r="H70" t="n">
        <x:v>0</x:v>
      </x:c>
      <x:c r="I70" t="n">
        <x:v>0</x:v>
      </x:c>
      <x:c r="J70" t="n">
        <x:v>2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2</x:v>
      </x:c>
      <x:c r="U70" t="n">
        <x:v>0</x:v>
      </x:c>
      <x:c r="V70" t="n">
        <x:v>0</x:v>
      </x:c>
      <x:c r="W70" t="n">
        <x:v>0</x:v>
      </x:c>
      <x:c r="X70" t="n">
        <x:v>1</x:v>
      </x:c>
    </x:row>
    <x:row r="71">
      <x:c r="A71" t="str">
        <x:v>A09</x:v>
      </x:c>
      <x:c r="B71" t="str">
        <x:v>F0907</x:v>
      </x:c>
      <x:c r="C71" t="str">
        <x:v>Envases, materiales y packaging</x:v>
      </x:c>
      <x:c r="D71" t="n">
        <x:v>2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2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1</x:v>
      </x:c>
      <x:c r="P71" t="n">
        <x:v>2</x:v>
      </x:c>
      <x:c r="Q71" t="n">
        <x:v>0</x:v>
      </x:c>
      <x:c r="R71" t="n">
        <x:v>0</x:v>
      </x:c>
      <x:c r="S71" t="n">
        <x:v>2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</x:row>
    <x:row r="72">
      <x:c r="A72" t="str">
        <x:v>A09</x:v>
      </x:c>
      <x:c r="B72" t="str">
        <x:v>F0908</x:v>
      </x:c>
      <x:c r="C72" t="str">
        <x:v>Sistemas energéticos y utilidades térmicas</x:v>
      </x:c>
      <x:c r="D72" t="n">
        <x:v>0</x:v>
      </x:c>
      <x:c r="E72" t="n">
        <x:v>2</x:v>
      </x:c>
      <x:c r="F72" t="n">
        <x:v>2</x:v>
      </x:c>
      <x:c r="G72" t="n">
        <x:v>2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2</x:v>
      </x:c>
      <x:c r="O72" t="n">
        <x:v>0</x:v>
      </x:c>
      <x:c r="P72" t="n">
        <x:v>1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</x:row>
    <x:row r="73">
      <x:c r="A73" t="str">
        <x:v>A10</x:v>
      </x:c>
      <x:c r="B73" t="str">
        <x:v>F1001</x:v>
      </x:c>
      <x:c r="C73" t="str">
        <x:v>Producción vegetal y fitotecnia</x:v>
      </x:c>
      <x:c r="D73" t="n">
        <x:v>2</x:v>
      </x:c>
      <x:c r="E73" t="n">
        <x:v>2</x:v>
      </x:c>
      <x:c r="F73" t="n">
        <x:v>2</x:v>
      </x:c>
      <x:c r="G73" t="n">
        <x:v>2</x:v>
      </x:c>
      <x:c r="H73" t="n">
        <x:v>2</x:v>
      </x:c>
      <x:c r="I73" t="n">
        <x:v>0</x:v>
      </x:c>
      <x:c r="J73" t="n">
        <x:v>2</x:v>
      </x:c>
      <x:c r="K73" t="n">
        <x:v>2</x:v>
      </x:c>
      <x:c r="L73" t="n">
        <x:v>2</x:v>
      </x:c>
      <x:c r="M73" t="n">
        <x:v>2</x:v>
      </x:c>
      <x:c r="N73" t="n">
        <x:v>0</x:v>
      </x:c>
      <x:c r="O73" t="n">
        <x:v>0</x:v>
      </x:c>
      <x:c r="P73" t="n">
        <x:v>0</x:v>
      </x:c>
      <x:c r="Q73" t="n">
        <x:v>2</x:v>
      </x:c>
      <x:c r="R73" t="n">
        <x:v>2</x:v>
      </x:c>
      <x:c r="S73" t="n">
        <x:v>2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2</x:v>
      </x:c>
    </x:row>
    <x:row r="74">
      <x:c r="A74" t="str">
        <x:v>A10</x:v>
      </x:c>
      <x:c r="B74" t="str">
        <x:v>F1002</x:v>
      </x:c>
      <x:c r="C74" t="str">
        <x:v>Producción animal y zootecnia</x:v>
      </x:c>
      <x:c r="D74" t="n">
        <x:v>2</x:v>
      </x:c>
      <x:c r="E74" t="n">
        <x:v>2</x:v>
      </x:c>
      <x:c r="F74" t="n">
        <x:v>2</x:v>
      </x:c>
      <x:c r="G74" t="n">
        <x:v>2</x:v>
      </x:c>
      <x:c r="H74" t="n">
        <x:v>2</x:v>
      </x:c>
      <x:c r="I74" t="n">
        <x:v>0</x:v>
      </x:c>
      <x:c r="J74" t="n">
        <x:v>0</x:v>
      </x:c>
      <x:c r="K74" t="n">
        <x:v>2</x:v>
      </x:c>
      <x:c r="L74" t="n">
        <x:v>2</x:v>
      </x:c>
      <x:c r="M74" t="n">
        <x:v>2</x:v>
      </x:c>
      <x:c r="N74" t="n">
        <x:v>0</x:v>
      </x:c>
      <x:c r="O74" t="n">
        <x:v>0</x:v>
      </x:c>
      <x:c r="P74" t="n">
        <x:v>0</x:v>
      </x:c>
      <x:c r="Q74" t="n">
        <x:v>2</x:v>
      </x:c>
      <x:c r="R74" t="n">
        <x:v>0</x:v>
      </x:c>
      <x:c r="S74" t="n">
        <x:v>2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2</x:v>
      </x:c>
    </x:row>
    <x:row r="75">
      <x:c r="A75" t="str">
        <x:v>A10</x:v>
      </x:c>
      <x:c r="B75" t="str">
        <x:v>F1003</x:v>
      </x:c>
      <x:c r="C75" t="str">
        <x:v>Materias primas agroalimentarias y aprovisionamiento</x:v>
      </x:c>
      <x:c r="D75" t="n">
        <x:v>2</x:v>
      </x:c>
      <x:c r="E75" t="n">
        <x:v>0</x:v>
      </x:c>
      <x:c r="F75" t="n">
        <x:v>0</x:v>
      </x:c>
      <x:c r="G75" t="n">
        <x:v>2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1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2</x:v>
      </x:c>
    </x:row>
    <x:row r="76">
      <x:c r="A76" t="str">
        <x:v>A10</x:v>
      </x:c>
      <x:c r="B76" t="str">
        <x:v>F1004</x:v>
      </x:c>
      <x:c r="C76" t="str">
        <x:v>Poscosecha y conservación de materia prima</x:v>
      </x:c>
      <x:c r="D76" t="n">
        <x:v>0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</x:row>
    <x:row r="77">
      <x:c r="A77" t="str">
        <x:v>A10</x:v>
      </x:c>
      <x:c r="B77" t="str">
        <x:v>F1005</x:v>
      </x:c>
      <x:c r="C77" t="str">
        <x:v>Edafología, geología y climatología</x:v>
      </x:c>
      <x:c r="D77" t="n">
        <x:v>2</x:v>
      </x:c>
      <x:c r="E77" t="n">
        <x:v>2</x:v>
      </x:c>
      <x:c r="F77" t="n">
        <x:v>2</x:v>
      </x:c>
      <x:c r="G77" t="n">
        <x:v>2</x:v>
      </x:c>
      <x:c r="H77" t="n">
        <x:v>2</x:v>
      </x:c>
      <x:c r="I77" t="n">
        <x:v>0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2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</x:row>
    <x:row r="78">
      <x:c r="A78" t="str">
        <x:v>A10</x:v>
      </x:c>
      <x:c r="B78" t="str">
        <x:v>F1006</x:v>
      </x:c>
      <x:c r="C78" t="str">
        <x:v>Geomática, topografía y cartografía</x:v>
      </x:c>
      <x:c r="D78" t="n">
        <x:v>2</x:v>
      </x:c>
      <x:c r="E78" t="n">
        <x:v>2</x:v>
      </x:c>
      <x:c r="F78" t="n">
        <x:v>2</x:v>
      </x:c>
      <x:c r="G78" t="n">
        <x:v>2</x:v>
      </x:c>
      <x:c r="H78" t="n">
        <x:v>2</x:v>
      </x:c>
      <x:c r="I78" t="n">
        <x:v>0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2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</x:row>
    <x:row r="79">
      <x:c r="A79" t="str">
        <x:v>A10</x:v>
      </x:c>
      <x:c r="B79" t="str">
        <x:v>F1007</x:v>
      </x:c>
      <x:c r="C79" t="str">
        <x:v>Riego, drenaje y mecanización agrícola</x:v>
      </x:c>
      <x:c r="D79" t="n">
        <x:v>0</x:v>
      </x:c>
      <x:c r="E79" t="n">
        <x:v>0</x:v>
      </x:c>
      <x:c r="F79" t="n">
        <x:v>0</x:v>
      </x:c>
      <x:c r="G79" t="n">
        <x:v>2</x:v>
      </x:c>
      <x:c r="H79" t="n">
        <x:v>2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2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</x:row>
    <x:row r="80">
      <x:c r="A80" t="str">
        <x:v>A11</x:v>
      </x:c>
      <x:c r="B80" t="str">
        <x:v>F1101</x:v>
      </x:c>
      <x:c r="C80" t="str">
        <x:v>Ecología e impacto ambiental</x:v>
      </x:c>
      <x:c r="D80" t="n">
        <x:v>2</x:v>
      </x:c>
      <x:c r="E80" t="n">
        <x:v>2</x:v>
      </x:c>
      <x:c r="F80" t="n">
        <x:v>2</x:v>
      </x:c>
      <x:c r="G80" t="n">
        <x:v>2</x:v>
      </x:c>
      <x:c r="H80" t="n">
        <x:v>2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2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2</x:v>
      </x:c>
    </x:row>
    <x:row r="81">
      <x:c r="A81" t="str">
        <x:v>A11</x:v>
      </x:c>
      <x:c r="B81" t="str">
        <x:v>F1102</x:v>
      </x:c>
      <x:c r="C81" t="str">
        <x:v>Análisis de ciclo de vida y ecodiseño</x:v>
      </x:c>
      <x:c r="D81" t="n">
        <x:v>1</x:v>
      </x:c>
      <x:c r="E81" t="n">
        <x:v>0</x:v>
      </x:c>
      <x:c r="F81" t="n">
        <x:v>1</x:v>
      </x:c>
      <x:c r="G81" t="n">
        <x:v>0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2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</x:row>
    <x:row r="82">
      <x:c r="A82" t="str">
        <x:v>A11</x:v>
      </x:c>
      <x:c r="B82" t="str">
        <x:v>F1103</x:v>
      </x:c>
      <x:c r="C82" t="str">
        <x:v>Residuos, subproductos y valorización</x:v>
      </x:c>
      <x:c r="D82" t="n">
        <x:v>2</x:v>
      </x:c>
      <x:c r="E82" t="n">
        <x:v>2</x:v>
      </x:c>
      <x:c r="F82" t="n">
        <x:v>0</x:v>
      </x:c>
      <x:c r="G82" t="n">
        <x:v>2</x:v>
      </x:c>
      <x:c r="H82" t="n">
        <x:v>2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1</x:v>
      </x:c>
      <x:c r="R82" t="n">
        <x:v>2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1</x:v>
      </x:c>
    </x:row>
    <x:row r="83">
      <x:c r="A83" t="str">
        <x:v>A11</x:v>
      </x:c>
      <x:c r="B83" t="str">
        <x:v>F1104</x:v>
      </x:c>
      <x:c r="C83" t="str">
        <x:v>Tratamiento de aguas y efluentes</x:v>
      </x:c>
      <x:c r="D83" t="n">
        <x:v>0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2</x:v>
      </x:c>
      <x:c r="J83" t="n">
        <x:v>2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</x:row>
    <x:row r="84">
      <x:c r="A84" t="str">
        <x:v>A11</x:v>
      </x:c>
      <x:c r="B84" t="str">
        <x:v>F1105</x:v>
      </x:c>
      <x:c r="C84" t="str">
        <x:v>Sostenibilidad y economía circular</x:v>
      </x:c>
      <x:c r="D84" t="n">
        <x:v>0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2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1</x:v>
      </x:c>
      <x:c r="R84" t="n">
        <x:v>0</x:v>
      </x:c>
      <x:c r="S84" t="n">
        <x:v>2</x:v>
      </x:c>
      <x:c r="T84" t="n">
        <x:v>2</x:v>
      </x:c>
      <x:c r="U84" t="n">
        <x:v>0</x:v>
      </x:c>
      <x:c r="V84" t="n">
        <x:v>1</x:v>
      </x:c>
      <x:c r="W84" t="n">
        <x:v>0</x:v>
      </x:c>
      <x:c r="X84" t="n">
        <x:v>0</x:v>
      </x:c>
    </x:row>
    <x:row r="85">
      <x:c r="A85" t="str">
        <x:v>A11</x:v>
      </x:c>
      <x:c r="B85" t="str">
        <x:v>F1106</x:v>
      </x:c>
      <x:c r="C85" t="str">
        <x:v>Bioenergía, biomasa y energía ambiental</x:v>
      </x:c>
      <x:c r="D85" t="n">
        <x:v>0</x:v>
      </x:c>
      <x:c r="E85" t="n">
        <x:v>0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1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</x:row>
    <x:row r="86">
      <x:c r="A86" t="str">
        <x:v>A12</x:v>
      </x:c>
      <x:c r="B86" t="str">
        <x:v>F1201</x:v>
      </x:c>
      <x:c r="C86" t="str">
        <x:v>Economía y sistemas agroalimentarios</x:v>
      </x:c>
      <x:c r="D86" t="n">
        <x:v>2</x:v>
      </x:c>
      <x:c r="E86" t="n">
        <x:v>0</x:v>
      </x:c>
      <x:c r="F86" t="n">
        <x:v>2</x:v>
      </x:c>
      <x:c r="G86" t="n">
        <x:v>2</x:v>
      </x:c>
      <x:c r="H86" t="n">
        <x:v>2</x:v>
      </x:c>
      <x:c r="I86" t="n">
        <x:v>0</x:v>
      </x:c>
      <x:c r="J86" t="n">
        <x:v>2</x:v>
      </x:c>
      <x:c r="K86" t="n">
        <x:v>0</x:v>
      </x:c>
      <x:c r="L86" t="n">
        <x:v>2</x:v>
      </x:c>
      <x:c r="M86" t="n">
        <x:v>2</x:v>
      </x:c>
      <x:c r="N86" t="n">
        <x:v>0</x:v>
      </x:c>
      <x:c r="O86" t="n">
        <x:v>0</x:v>
      </x:c>
      <x:c r="P86" t="n">
        <x:v>2</x:v>
      </x:c>
      <x:c r="Q86" t="n">
        <x:v>2</x:v>
      </x:c>
      <x:c r="R86" t="n">
        <x:v>2</x:v>
      </x:c>
      <x:c r="S86" t="n">
        <x:v>2</x:v>
      </x:c>
      <x:c r="T86" t="n">
        <x:v>2</x:v>
      </x:c>
      <x:c r="U86" t="n">
        <x:v>0</x:v>
      </x:c>
      <x:c r="V86" t="n">
        <x:v>0</x:v>
      </x:c>
      <x:c r="W86" t="n">
        <x:v>0</x:v>
      </x:c>
      <x:c r="X86" t="n">
        <x:v>0</x:v>
      </x:c>
    </x:row>
    <x:row r="87">
      <x:c r="A87" t="str">
        <x:v>A12</x:v>
      </x:c>
      <x:c r="B87" t="str">
        <x:v>F1202</x:v>
      </x:c>
      <x:c r="C87" t="str">
        <x:v>Administración y gestión empresarial</x:v>
      </x:c>
      <x:c r="D87" t="n">
        <x:v>2</x:v>
      </x:c>
      <x:c r="E87" t="n">
        <x:v>2</x:v>
      </x:c>
      <x:c r="F87" t="n">
        <x:v>0</x:v>
      </x:c>
      <x:c r="G87" t="n">
        <x:v>2</x:v>
      </x:c>
      <x:c r="H87" t="n">
        <x:v>2</x:v>
      </x:c>
      <x:c r="I87" t="n">
        <x:v>0</x:v>
      </x:c>
      <x:c r="J87" t="n">
        <x:v>2</x:v>
      </x:c>
      <x:c r="K87" t="n">
        <x:v>2</x:v>
      </x:c>
      <x:c r="L87" t="n">
        <x:v>0</x:v>
      </x:c>
      <x:c r="M87" t="n">
        <x:v>0</x:v>
      </x:c>
      <x:c r="N87" t="n">
        <x:v>2</x:v>
      </x:c>
      <x:c r="O87" t="n">
        <x:v>0</x:v>
      </x:c>
      <x:c r="P87" t="n">
        <x:v>0</x:v>
      </x:c>
      <x:c r="Q87" t="n">
        <x:v>2</x:v>
      </x:c>
      <x:c r="R87" t="n">
        <x:v>2</x:v>
      </x:c>
      <x:c r="S87" t="n">
        <x:v>0</x:v>
      </x:c>
      <x:c r="T87" t="n">
        <x:v>2</x:v>
      </x:c>
      <x:c r="U87" t="n">
        <x:v>0</x:v>
      </x:c>
      <x:c r="V87" t="n">
        <x:v>0</x:v>
      </x:c>
      <x:c r="W87" t="n">
        <x:v>0</x:v>
      </x:c>
      <x:c r="X87" t="n">
        <x:v>2</x:v>
      </x:c>
    </x:row>
    <x:row r="88">
      <x:c r="A88" t="str">
        <x:v>A12</x:v>
      </x:c>
      <x:c r="B88" t="str">
        <x:v>F1203</x:v>
      </x:c>
      <x:c r="C88" t="str">
        <x:v>Costos, valoración y finanzas</x:v>
      </x:c>
      <x:c r="D88" t="n">
        <x:v>2</x:v>
      </x:c>
      <x:c r="E88" t="n">
        <x:v>0</x:v>
      </x:c>
      <x:c r="F88" t="n">
        <x:v>2</x:v>
      </x:c>
      <x:c r="G88" t="n">
        <x:v>0</x:v>
      </x:c>
      <x:c r="H88" t="n">
        <x:v>2</x:v>
      </x:c>
      <x:c r="I88" t="n">
        <x:v>0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</x:row>
    <x:row r="89">
      <x:c r="A89" t="str">
        <x:v>A12</x:v>
      </x:c>
      <x:c r="B89" t="str">
        <x:v>F1204</x:v>
      </x:c>
      <x:c r="C89" t="str">
        <x:v>Marketing y comercialización</x:v>
      </x:c>
      <x:c r="D89" t="n">
        <x:v>1</x:v>
      </x:c>
      <x:c r="E89" t="n">
        <x:v>2</x:v>
      </x:c>
      <x:c r="F89" t="n">
        <x:v>0</x:v>
      </x:c>
      <x:c r="G89" t="n">
        <x:v>2</x:v>
      </x:c>
      <x:c r="H89" t="n">
        <x:v>2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2</x:v>
      </x:c>
      <x:c r="R89" t="n">
        <x:v>2</x:v>
      </x:c>
      <x:c r="S89" t="n">
        <x:v>2</x:v>
      </x:c>
      <x:c r="T89" t="n">
        <x:v>0</x:v>
      </x:c>
      <x:c r="U89" t="n">
        <x:v>0</x:v>
      </x:c>
      <x:c r="V89" t="n">
        <x:v>1</x:v>
      </x:c>
      <x:c r="W89" t="n">
        <x:v>0</x:v>
      </x:c>
      <x:c r="X89" t="n">
        <x:v>2</x:v>
      </x:c>
    </x:row>
    <x:row r="90">
      <x:c r="A90" t="str">
        <x:v>A12</x:v>
      </x:c>
      <x:c r="B90" t="str">
        <x:v>F1205</x:v>
      </x:c>
      <x:c r="C90" t="str">
        <x:v>Logística y supply chain</x:v>
      </x:c>
      <x:c r="D90" t="n">
        <x:v>1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2</x:v>
      </x:c>
    </x:row>
    <x:row r="91">
      <x:c r="A91" t="str">
        <x:v>A12</x:v>
      </x:c>
      <x:c r="B91" t="str">
        <x:v>F1206</x:v>
      </x:c>
      <x:c r="C91" t="str">
        <x:v>Gestión de producción y operaciones</x:v>
      </x:c>
      <x:c r="D91" t="n">
        <x:v>0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1</x:v>
      </x:c>
      <x:c r="W91" t="n">
        <x:v>0</x:v>
      </x:c>
      <x:c r="X91" t="n">
        <x:v>0</x:v>
      </x:c>
    </x:row>
    <x:row r="92">
      <x:c r="A92" t="str">
        <x:v>A12</x:v>
      </x:c>
      <x:c r="B92" t="str">
        <x:v>F1207</x:v>
      </x:c>
      <x:c r="C92" t="str">
        <x:v>Gestión de proyectos</x:v>
      </x:c>
      <x:c r="D92" t="n">
        <x:v>0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2</x:v>
      </x:c>
      <x:c r="S92" t="n">
        <x:v>0</x:v>
      </x:c>
      <x:c r="T92" t="n">
        <x:v>0</x:v>
      </x:c>
      <x:c r="U92" t="n">
        <x:v>0</x:v>
      </x:c>
      <x:c r="V92" t="n">
        <x:v>2</x:v>
      </x:c>
      <x:c r="W92" t="n">
        <x:v>0</x:v>
      </x:c>
      <x:c r="X92" t="n">
        <x:v>2</x:v>
      </x:c>
    </x:row>
    <x:row r="93">
      <x:c r="A93" t="str">
        <x:v>A12</x:v>
      </x:c>
      <x:c r="B93" t="str">
        <x:v>F1208</x:v>
      </x:c>
      <x:c r="C93" t="str">
        <x:v>Emprendimiento y modelos de negocio</x:v>
      </x:c>
      <x:c r="D93" t="n">
        <x:v>0</x:v>
      </x:c>
      <x:c r="E93" t="n">
        <x:v>0</x:v>
      </x:c>
      <x:c r="F93" t="n">
        <x:v>1</x:v>
      </x:c>
      <x:c r="G93" t="n">
        <x:v>0</x:v>
      </x:c>
      <x:c r="H93" t="n">
        <x:v>0</x:v>
      </x:c>
      <x:c r="I93" t="n">
        <x:v>2</x:v>
      </x:c>
      <x:c r="J93" t="n">
        <x:v>0</x:v>
      </x:c>
      <x:c r="K93" t="n">
        <x:v>2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2</x:v>
      </x:c>
      <x:c r="U93" t="n">
        <x:v>0</x:v>
      </x:c>
      <x:c r="V93" t="n">
        <x:v>0</x:v>
      </x:c>
      <x:c r="W93" t="n">
        <x:v>0</x:v>
      </x:c>
      <x:c r="X93" t="n">
        <x:v>0</x:v>
      </x:c>
    </x:row>
    <x:row r="94">
      <x:c r="A94" t="str">
        <x:v>A13</x:v>
      </x:c>
      <x:c r="B94" t="str">
        <x:v>F1301</x:v>
      </x:c>
      <x:c r="C94" t="str">
        <x:v>Nutrición humana y dietética</x:v>
      </x:c>
      <x:c r="D94" t="n">
        <x:v>2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2</x:v>
      </x:c>
      <x:c r="K94" t="n">
        <x:v>0</x:v>
      </x:c>
      <x:c r="L94" t="n">
        <x:v>2</x:v>
      </x:c>
      <x:c r="M94" t="n">
        <x:v>2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2</x:v>
      </x:c>
      <x:c r="S94" t="n">
        <x:v>2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</x:row>
    <x:row r="95">
      <x:c r="A95" t="str">
        <x:v>A13</x:v>
      </x:c>
      <x:c r="B95" t="str">
        <x:v>F1302</x:v>
      </x:c>
      <x:c r="C95" t="str">
        <x:v>Alimentación y salud / alimentos funcionales</x:v>
      </x:c>
      <x:c r="D95" t="n">
        <x:v>0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2</x:v>
      </x:c>
      <x:c r="U95" t="n">
        <x:v>0</x:v>
      </x:c>
      <x:c r="V95" t="n">
        <x:v>0</x:v>
      </x:c>
      <x:c r="W95" t="n">
        <x:v>0</x:v>
      </x:c>
      <x:c r="X95" t="n">
        <x:v>0</x:v>
      </x:c>
    </x:row>
    <x:row r="96">
      <x:c r="A96" t="str">
        <x:v>A13</x:v>
      </x:c>
      <x:c r="B96" t="str">
        <x:v>F1303</x:v>
      </x:c>
      <x:c r="C96" t="str">
        <x:v>Ciencia sensorial y del consumidor</x:v>
      </x:c>
      <x:c r="D96" t="n">
        <x:v>0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</x:row>
    <x:row r="97">
      <x:c r="A97" t="str">
        <x:v>A14</x:v>
      </x:c>
      <x:c r="B97" t="str">
        <x:v>F1401</x:v>
      </x:c>
      <x:c r="C97" t="str">
        <x:v>Desarrollo e innovación de productos alimentarios</x:v>
      </x:c>
      <x:c r="D97" t="n">
        <x:v>1</x:v>
      </x:c>
      <x:c r="E97" t="n">
        <x:v>0</x:v>
      </x:c>
      <x:c r="F97" t="n">
        <x:v>1</x:v>
      </x:c>
      <x:c r="G97" t="n">
        <x:v>0</x:v>
      </x:c>
      <x:c r="H97" t="n">
        <x:v>0</x:v>
      </x:c>
      <x:c r="I97" t="n">
        <x:v>2</x:v>
      </x:c>
      <x:c r="J97" t="n">
        <x:v>0</x:v>
      </x:c>
      <x:c r="K97" t="n">
        <x:v>2</x:v>
      </x:c>
      <x:c r="L97" t="n">
        <x:v>0</x:v>
      </x:c>
      <x:c r="M97" t="n">
        <x:v>2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2</x:v>
      </x:c>
      <x:c r="T97" t="n">
        <x:v>0</x:v>
      </x:c>
      <x:c r="U97" t="n">
        <x:v>2</x:v>
      </x:c>
      <x:c r="V97" t="n">
        <x:v>1</x:v>
      </x:c>
      <x:c r="W97" t="n">
        <x:v>0</x:v>
      </x:c>
      <x:c r="X97" t="n">
        <x:v>1</x:v>
      </x:c>
    </x:row>
    <x:row r="98">
      <x:c r="A98" t="str">
        <x:v>A14</x:v>
      </x:c>
      <x:c r="B98" t="str">
        <x:v>F1402</x:v>
      </x:c>
      <x:c r="C98" t="str">
        <x:v>Formulación avanzada orientada a innovación</x:v>
      </x:c>
      <x:c r="D98" t="n">
        <x:v>0</x:v>
      </x:c>
      <x:c r="E98" t="n">
        <x:v>0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</x:row>
    <x:row r="99">
      <x:c r="A99" t="str">
        <x:v>A14</x:v>
      </x:c>
      <x:c r="B99" t="str">
        <x:v>F1403</x:v>
      </x:c>
      <x:c r="C99" t="str">
        <x:v>Investigación y desarrollo aplicado</x:v>
      </x:c>
      <x:c r="D99" t="n">
        <x:v>0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2</x:v>
      </x:c>
      <x:c r="U99" t="n">
        <x:v>0</x:v>
      </x:c>
      <x:c r="V99" t="n">
        <x:v>2</x:v>
      </x:c>
      <x:c r="W99" t="n">
        <x:v>0</x:v>
      </x:c>
      <x:c r="X99" t="n">
        <x:v>0</x:v>
      </x:c>
    </x:row>
    <x:row r="100">
      <x:c r="A100" t="str">
        <x:v>A14</x:v>
      </x:c>
      <x:c r="B100" t="str">
        <x:v>F1404</x:v>
      </x:c>
      <x:c r="C100" t="str">
        <x:v>Diseño experimental aplicado a I+D</x:v>
      </x:c>
      <x:c r="D100" t="n">
        <x:v>0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</x:row>
    <x:row r="101">
      <x:c r="A101" t="str">
        <x:v>A15</x:v>
      </x:c>
      <x:c r="B101" t="str">
        <x:v>F1501</x:v>
      </x:c>
      <x:c r="C101" t="str">
        <x:v>Proyecto de ingeniería / oficina técnica</x:v>
      </x:c>
      <x:c r="D101" t="n">
        <x:v>2</x:v>
      </x:c>
      <x:c r="E101" t="n">
        <x:v>2</x:v>
      </x:c>
      <x:c r="F101" t="n">
        <x:v>0</x:v>
      </x:c>
      <x:c r="G101" t="n">
        <x:v>2</x:v>
      </x:c>
      <x:c r="H101" t="n">
        <x:v>2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2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2</x:v>
      </x:c>
      <x:c r="W101" t="n">
        <x:v>0</x:v>
      </x:c>
      <x:c r="X101" t="n">
        <x:v>0</x:v>
      </x:c>
    </x:row>
    <x:row r="102">
      <x:c r="A102" t="str">
        <x:v>A15</x:v>
      </x:c>
      <x:c r="B102" t="str">
        <x:v>F1502</x:v>
      </x:c>
      <x:c r="C102" t="str">
        <x:v>Proyecto integrador / capstone</x:v>
      </x:c>
      <x:c r="D102" t="n">
        <x:v>0</x:v>
      </x:c>
      <x:c r="E102" t="n">
        <x:v>0</x:v>
      </x:c>
      <x:c r="F102" t="n">
        <x:v>0</x:v>
      </x:c>
      <x:c r="G102" t="n">
        <x:v>0</x:v>
      </x:c>
      <x:c r="H102" t="n">
        <x:v>0</x:v>
      </x:c>
      <x:c r="I102" t="n">
        <x:v>0</x:v>
      </x:c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2</x:v>
      </x:c>
      <x:c r="U102" t="n">
        <x:v>2</x:v>
      </x:c>
      <x:c r="V102" t="n">
        <x:v>0</x:v>
      </x:c>
      <x:c r="W102" t="n">
        <x:v>0</x:v>
      </x:c>
      <x:c r="X102" t="n">
        <x:v>0</x:v>
      </x:c>
    </x:row>
    <x:row r="103">
      <x:c r="A103" t="str">
        <x:v>A15</x:v>
      </x:c>
      <x:c r="B103" t="str">
        <x:v>F1503</x:v>
      </x:c>
      <x:c r="C103" t="str">
        <x:v>Trabajo Fin de Grado / Bachelor thesis</x:v>
      </x:c>
      <x:c r="D103" t="n">
        <x:v>2</x:v>
      </x:c>
      <x:c r="E103" t="n">
        <x:v>2</x:v>
      </x:c>
      <x:c r="F103" t="n">
        <x:v>2</x:v>
      </x:c>
      <x:c r="G103" t="n">
        <x:v>2</x:v>
      </x:c>
      <x:c r="H103" t="n">
        <x:v>0</x:v>
      </x:c>
      <x:c r="I103" t="n">
        <x:v>0</x:v>
      </x:c>
      <x:c r="J103" t="n">
        <x:v>0</x:v>
      </x:c>
      <x:c r="K103" t="n">
        <x:v>0</x:v>
      </x:c>
      <x:c r="L103" t="n">
        <x:v>2</x:v>
      </x:c>
      <x:c r="M103" t="n">
        <x:v>2</x:v>
      </x:c>
      <x:c r="N103" t="n">
        <x:v>2</x:v>
      </x:c>
      <x:c r="O103" t="n">
        <x:v>2</x:v>
      </x:c>
      <x:c r="P103" t="n">
        <x:v>2</x:v>
      </x:c>
      <x:c r="Q103" t="n">
        <x:v>2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</x:row>
    <x:row r="104">
      <x:c r="A104" t="str">
        <x:v>A15</x:v>
      </x:c>
      <x:c r="B104" t="str">
        <x:v>F1504</x:v>
      </x:c>
      <x:c r="C104" t="str">
        <x:v>Tesis / mémoire de investigación</x:v>
      </x:c>
      <x:c r="D104" t="n">
        <x:v>0</x:v>
      </x:c>
      <x:c r="E104" t="n">
        <x:v>0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</x:row>
    <x:row r="105">
      <x:c r="A105" t="str">
        <x:v>A15</x:v>
      </x:c>
      <x:c r="B105" t="str">
        <x:v>F1505</x:v>
      </x:c>
      <x:c r="C105" t="str">
        <x:v>Práctica externa / internship / stage</x:v>
      </x:c>
      <x:c r="D105" t="n">
        <x:v>0</x:v>
      </x:c>
      <x:c r="E105" t="n">
        <x:v>0</x:v>
      </x:c>
      <x:c r="F105" t="n">
        <x:v>1</x:v>
      </x:c>
      <x:c r="G105" t="n">
        <x:v>0</x:v>
      </x:c>
      <x:c r="H105" t="n">
        <x:v>0</x:v>
      </x:c>
      <x:c r="I105" t="n">
        <x:v>2</x:v>
      </x:c>
      <x:c r="J105" t="n">
        <x:v>2</x:v>
      </x:c>
      <x:c r="K105" t="n">
        <x:v>2</x:v>
      </x:c>
      <x:c r="L105" t="n">
        <x:v>2</x:v>
      </x:c>
      <x:c r="M105" t="n">
        <x:v>2</x:v>
      </x:c>
      <x:c r="N105" t="n">
        <x:v>2</x:v>
      </x:c>
      <x:c r="O105" t="n">
        <x:v>0</x:v>
      </x:c>
      <x:c r="P105" t="n">
        <x:v>2</x:v>
      </x:c>
      <x:c r="Q105" t="n">
        <x:v>1</x:v>
      </x:c>
      <x:c r="R105" t="n">
        <x:v>2</x:v>
      </x:c>
      <x:c r="S105" t="n">
        <x:v>2</x:v>
      </x:c>
      <x:c r="T105" t="n">
        <x:v>0</x:v>
      </x:c>
      <x:c r="U105" t="n">
        <x:v>2</x:v>
      </x:c>
      <x:c r="V105" t="n">
        <x:v>2</x:v>
      </x:c>
      <x:c r="W105" t="n">
        <x:v>2</x:v>
      </x:c>
      <x:c r="X105" t="n">
        <x:v>0</x:v>
      </x:c>
    </x:row>
    <x:row r="106">
      <x:c r="A106" t="str">
        <x:v>A15</x:v>
      </x:c>
      <x:c r="B106" t="str">
        <x:v>F1506</x:v>
      </x:c>
      <x:c r="C106" t="str">
        <x:v>Stage final / misión de ingeniero</x:v>
      </x:c>
      <x:c r="D106" t="n">
        <x:v>0</x:v>
      </x:c>
      <x:c r="E106" t="n">
        <x:v>0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2</x:v>
      </x:c>
      <x:c r="T106" t="n">
        <x:v>2</x:v>
      </x:c>
      <x:c r="U106" t="n">
        <x:v>0</x:v>
      </x:c>
      <x:c r="V106" t="n">
        <x:v>2</x:v>
      </x:c>
      <x:c r="W106" t="n">
        <x:v>0</x:v>
      </x:c>
      <x:c r="X106" t="n">
        <x:v>2</x:v>
      </x:c>
    </x:row>
    <x:row r="107">
      <x:c r="A107" t="str">
        <x:v>A15</x:v>
      </x:c>
      <x:c r="B107" t="str">
        <x:v>F1507</x:v>
      </x:c>
      <x:c r="C107" t="str">
        <x:v>Taller / laboratorio integrador / proyecto práctico</x:v>
      </x:c>
      <x:c r="D107" t="n">
        <x:v>2</x:v>
      </x:c>
      <x:c r="E107" t="n">
        <x:v>0</x:v>
      </x:c>
      <x:c r="F107" t="n">
        <x:v>2</x:v>
      </x:c>
      <x:c r="G107" t="n">
        <x:v>0</x:v>
      </x:c>
      <x:c r="H107" t="n">
        <x:v>0</x:v>
      </x:c>
      <x:c r="I107" t="n">
        <x:v>0</x:v>
      </x:c>
      <x:c r="J107" t="n">
        <x:v>0</x:v>
      </x:c>
      <x:c r="K107" t="n">
        <x:v>2</x:v>
      </x:c>
      <x:c r="L107" t="n">
        <x:v>0</x:v>
      </x:c>
      <x:c r="M107" t="n">
        <x:v>0</x:v>
      </x:c>
      <x:c r="N107" t="n">
        <x:v>0</x:v>
      </x:c>
      <x:c r="O107" t="n">
        <x:v>2</x:v>
      </x:c>
      <x:c r="P107" t="n">
        <x:v>0</x:v>
      </x:c>
      <x:c r="Q107" t="n">
        <x:v>0</x:v>
      </x:c>
      <x:c r="R107" t="n">
        <x:v>2</x:v>
      </x:c>
      <x:c r="S107" t="n">
        <x:v>2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</x:row>
    <x:row r="108">
      <x:c r="A108" t="str">
        <x:v>A15</x:v>
      </x:c>
      <x:c r="B108" t="str">
        <x:v>F1508</x:v>
      </x:c>
      <x:c r="C108" t="str">
        <x:v>Movilidad y experiencia internacional</x:v>
      </x:c>
      <x:c r="D108" t="n">
        <x:v>0</x:v>
      </x:c>
      <x:c r="E108" t="n">
        <x:v>0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1</x:v>
      </x:c>
      <x:c r="V108" t="n">
        <x:v>0</x:v>
      </x:c>
      <x:c r="W108" t="n">
        <x:v>2</x:v>
      </x:c>
      <x:c r="X108" t="n">
        <x:v>2</x:v>
      </x:c>
    </x:row>
    <x:row r="109">
      <x:c r="A109" t="str">
        <x:v>A16</x:v>
      </x:c>
      <x:c r="B109" t="str">
        <x:v>F1601</x:v>
      </x:c>
      <x:c r="C109" t="str">
        <x:v>Idioma extranjero</x:v>
      </x:c>
      <x:c r="D109" t="n">
        <x:v>2</x:v>
      </x:c>
      <x:c r="E109" t="n">
        <x:v>0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n">
        <x:v>1</x:v>
      </x:c>
      <x:c r="M109" t="n">
        <x:v>2</x:v>
      </x:c>
      <x:c r="N109" t="n">
        <x:v>2</x:v>
      </x:c>
      <x:c r="O109" t="n">
        <x:v>0</x:v>
      </x:c>
      <x:c r="P109" t="n">
        <x:v>0</x:v>
      </x:c>
      <x:c r="Q109" t="n">
        <x:v>0</x:v>
      </x:c>
      <x:c r="R109" t="n">
        <x:v>2</x:v>
      </x:c>
      <x:c r="S109" t="n">
        <x:v>2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</x:row>
    <x:row r="110">
      <x:c r="A110" t="str">
        <x:v>A16</x:v>
      </x:c>
      <x:c r="B110" t="str">
        <x:v>F1602</x:v>
      </x:c>
      <x:c r="C110" t="str">
        <x:v>Comunicación académica y profesional</x:v>
      </x:c>
      <x:c r="D110" t="n">
        <x:v>2</x:v>
      </x:c>
      <x:c r="E110" t="n">
        <x:v>0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</x:row>
    <x:row r="111">
      <x:c r="A111" t="str">
        <x:v>A16</x:v>
      </x:c>
      <x:c r="B111" t="str">
        <x:v>F1603</x:v>
      </x:c>
      <x:c r="C111" t="str">
        <x:v>Ética, responsabilidad y desarrollo profesional</x:v>
      </x:c>
      <x:c r="D111" t="n">
        <x:v>0</x:v>
      </x:c>
      <x:c r="E111" t="n">
        <x:v>0</x:v>
      </x:c>
      <x:c r="F111" t="n">
        <x:v>0</x:v>
      </x:c>
      <x:c r="G111" t="n">
        <x:v>0</x:v>
      </x:c>
      <x:c r="H111" t="n">
        <x:v>0</x:v>
      </x:c>
      <x:c r="I111" t="n">
        <x:v>0</x:v>
      </x:c>
      <x:c r="J111" t="n">
        <x:v>0</x:v>
      </x:c>
      <x:c r="K111" t="n">
        <x:v>0</x:v>
      </x:c>
      <x:c r="L111" t="n">
        <x:v>1</x:v>
      </x:c>
      <x:c r="M111" t="n">
        <x:v>0</x:v>
      </x:c>
      <x:c r="N111" t="n">
        <x:v>0</x:v>
      </x:c>
      <x:c r="O111" t="n">
        <x:v>0</x:v>
      </x:c>
      <x:c r="P111" t="n">
        <x:v>2</x:v>
      </x:c>
      <x:c r="Q111" t="n">
        <x:v>0</x:v>
      </x:c>
      <x:c r="R111" t="n">
        <x:v>2</x:v>
      </x:c>
      <x:c r="S111" t="n">
        <x:v>2</x:v>
      </x:c>
      <x:c r="T111" t="n">
        <x:v>2</x:v>
      </x:c>
      <x:c r="U111" t="n">
        <x:v>0</x:v>
      </x:c>
      <x:c r="V111" t="n">
        <x:v>2</x:v>
      </x:c>
      <x:c r="W111" t="n">
        <x:v>0</x:v>
      </x:c>
      <x:c r="X111" t="n">
        <x:v>2</x:v>
      </x:c>
    </x:row>
    <x:row r="112">
      <x:c r="A112" t="str">
        <x:v>A16</x:v>
      </x:c>
      <x:c r="B112" t="str">
        <x:v>F1604</x:v>
      </x:c>
      <x:c r="C112" t="str">
        <x:v>Propiedad intelectual y regulación profesional general</x:v>
      </x:c>
      <x:c r="D112" t="n">
        <x:v>0</x:v>
      </x:c>
      <x:c r="E112" t="n">
        <x:v>0</x:v>
      </x:c>
      <x:c r="F112" t="n">
        <x:v>0</x:v>
      </x:c>
      <x:c r="G112" t="n">
        <x:v>0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1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</x:row>
    <x:row r="113">
      <x:c r="A113" t="str">
        <x:v>A16</x:v>
      </x:c>
      <x:c r="B113" t="str">
        <x:v>F1605</x:v>
      </x:c>
      <x:c r="C113" t="str">
        <x:v>Documentación y alfabetización informacional</x:v>
      </x:c>
      <x:c r="D113" t="n">
        <x:v>0</x:v>
      </x:c>
      <x:c r="E113" t="n">
        <x:v>0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2</x:v>
      </x:c>
      <x:c r="W113" t="n">
        <x:v>0</x:v>
      </x:c>
      <x:c r="X113" t="n">
        <x:v>0</x:v>
      </x:c>
    </x:row>
    <x:row r="114">
      <x:c r="A114" t="str">
        <x:v>A16</x:v>
      </x:c>
      <x:c r="B114" t="str">
        <x:v>F1606</x:v>
      </x:c>
      <x:c r="C114" t="str">
        <x:v>Humanidades, deporte y formación general</x:v>
      </x:c>
      <x:c r="D114" t="n">
        <x:v>0</x:v>
      </x:c>
      <x:c r="E114" t="n">
        <x:v>0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1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</x:row>
  </x:sheetData>
  <x:mergeCells>
    <x:mergeCell ref="A1:X1"/>
    <x:mergeCell ref="D2:P2"/>
    <x:mergeCell ref="R2:X2"/>
  </x:mergeCells>
  <x:conditionalFormatting sqref="D4:X114">
    <x:cfRule type="cellIs" dxfId="0" priority="1">
      <x:formula>2</x:formula>
    </x:cfRule>
    <x:cfRule type="cellIs" dxfId="1" priority="2">
      <x:formula>1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>
      <x:c r="A1" s="5" t="str">
        <x:v>PESO CURRICULAR OBLIGATORIO POR FAMILIA — % de créditos totales del programa · solo 12 Core con créditos elegibles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3">
      <x:c r="A3" s="14" t="str">
        <x:v>ID_Area</x:v>
      </x:c>
      <x:c r="B3" s="14" t="str">
        <x:v>ID_Familia</x:v>
      </x:c>
      <x:c r="C3" s="14" t="str">
        <x:v>Familia</x:v>
      </x:c>
      <x:c r="D3" s="14" t="str">
        <x:v>UPM</x:v>
      </x:c>
      <x:c r="E3" s="14" t="str">
        <x:v>USAL</x:v>
      </x:c>
      <x:c r="F3" s="14" t="str">
        <x:v>UPC</x:v>
      </x:c>
      <x:c r="G3" s="14" t="str">
        <x:v>UCO</x:v>
      </x:c>
      <x:c r="H3" s="14" t="str">
        <x:v>IPLEIRIA</x:v>
      </x:c>
      <x:c r="I3" s="14" t="str">
        <x:v>ISA</x:v>
      </x:c>
      <x:c r="J3" s="14" t="str">
        <x:v>ESAV</x:v>
      </x:c>
      <x:c r="K3" s="14" t="str">
        <x:v>UNIBO</x:v>
      </x:c>
      <x:c r="L3" s="14" t="str">
        <x:v>UNIFG</x:v>
      </x:c>
      <x:c r="M3" s="14" t="str">
        <x:v>UNICUSANO</x:v>
      </x:c>
      <x:c r="N3" s="14" t="str">
        <x:v>HOHENHEIM</x:v>
      </x:c>
      <x:c r="O3" s="14" t="str">
        <x:v>TUM</x:v>
      </x:c>
    </x:row>
    <x:row r="4">
      <x:c r="A4" t="str">
        <x:v>A00</x:v>
      </x:c>
      <x:c r="B4" t="str">
        <x:v>F0001</x:v>
      </x:c>
      <x:c r="C4" t="str">
        <x:v>Optatividad / grupo de elección</x:v>
      </x:c>
      <x:c r="D4" s="28" t="n">
        <x:v>0</x:v>
      </x:c>
      <x:c r="E4" s="28" t="n">
        <x:v>0</x:v>
      </x:c>
      <x:c r="F4" s="28" t="n">
        <x:v>0</x:v>
      </x:c>
      <x:c r="G4" s="28" t="n">
        <x:v>0</x:v>
      </x:c>
      <x:c r="H4" s="28" t="n">
        <x:v>0</x:v>
      </x:c>
      <x:c r="I4" s="28" t="n">
        <x:v>0</x:v>
      </x:c>
      <x:c r="J4" s="28" t="n">
        <x:v>0</x:v>
      </x:c>
      <x:c r="K4" s="28" t="n">
        <x:v>0</x:v>
      </x:c>
      <x:c r="L4" s="28" t="n">
        <x:v>0</x:v>
      </x:c>
      <x:c r="M4" s="28" t="n">
        <x:v>0</x:v>
      </x:c>
      <x:c r="N4" s="28" t="n">
        <x:v>0</x:v>
      </x:c>
      <x:c r="O4" s="28" t="n">
        <x:v>0</x:v>
      </x:c>
    </x:row>
    <x:row r="5">
      <x:c r="A5" t="str">
        <x:v>A00</x:v>
      </x:c>
      <x:c r="B5" t="str">
        <x:v>F0002</x:v>
      </x:c>
      <x:c r="C5" t="str">
        <x:v>Especialización / parcours no desagregado</x:v>
      </x:c>
      <x:c r="D5" s="28" t="n">
        <x:v>0</x:v>
      </x:c>
      <x:c r="E5" s="28" t="n">
        <x:v>0</x:v>
      </x:c>
      <x:c r="F5" s="28" t="n">
        <x:v>0</x:v>
      </x:c>
      <x:c r="G5" s="28" t="n">
        <x:v>0</x:v>
      </x:c>
      <x:c r="H5" s="28" t="n">
        <x:v>0</x:v>
      </x:c>
      <x:c r="I5" s="28" t="n">
        <x:v>0</x:v>
      </x:c>
      <x:c r="J5" s="28" t="n">
        <x:v>0</x:v>
      </x:c>
      <x:c r="K5" s="28" t="n">
        <x:v>0</x:v>
      </x:c>
      <x:c r="L5" s="28" t="n">
        <x:v>0</x:v>
      </x:c>
      <x:c r="M5" s="28" t="n">
        <x:v>0</x:v>
      </x:c>
      <x:c r="N5" s="28" t="n">
        <x:v>0</x:v>
      </x:c>
      <x:c r="O5" s="28" t="n">
        <x:v>0</x:v>
      </x:c>
    </x:row>
    <x:row r="6">
      <x:c r="A6" t="str">
        <x:v>A01</x:v>
      </x:c>
      <x:c r="B6" t="str">
        <x:v>F0101</x:v>
      </x:c>
      <x:c r="C6" t="str">
        <x:v>Cálculo y matemática general</x:v>
      </x:c>
      <x:c r="D6" s="28" t="n">
        <x:v>0.05</x:v>
      </x:c>
      <x:c r="E6" s="28" t="n">
        <x:v>0.05</x:v>
      </x:c>
      <x:c r="F6" s="28" t="n">
        <x:v>0.05</x:v>
      </x:c>
      <x:c r="G6" s="28" t="n">
        <x:v>0.05</x:v>
      </x:c>
      <x:c r="H6" s="28" t="n">
        <x:v>0.03333333333333333</x:v>
      </x:c>
      <x:c r="I6" s="28" t="n">
        <x:v>0.03333333333333333</x:v>
      </x:c>
      <x:c r="J6" s="28" t="n">
        <x:v>0.027777777777777776</x:v>
      </x:c>
      <x:c r="K6" s="28" t="n">
        <x:v>0.044444444444444446</x:v>
      </x:c>
      <x:c r="L6" s="28" t="n">
        <x:v>0.044444444444444446</x:v>
      </x:c>
      <x:c r="M6" s="28" t="n">
        <x:v>0.08333333333333333</x:v>
      </x:c>
      <x:c r="N6" s="28" t="n">
        <x:v>0.03333333333333333</x:v>
      </x:c>
      <x:c r="O6" s="28" t="n">
        <x:v>0.044444444444444446</x:v>
      </x:c>
    </x:row>
    <x:row r="7">
      <x:c r="A7" t="str">
        <x:v>A01</x:v>
      </x:c>
      <x:c r="B7" t="str">
        <x:v>F0102</x:v>
      </x:c>
      <x:c r="C7" t="str">
        <x:v>Álgebra lineal y geometría</x:v>
      </x:c>
      <x:c r="D7" s="28" t="n">
        <x:v>0</x:v>
      </x:c>
      <x:c r="E7" s="28" t="n">
        <x:v>0</x:v>
      </x:c>
      <x:c r="F7" s="28" t="n">
        <x:v>0</x:v>
      </x:c>
      <x:c r="G7" s="28" t="n">
        <x:v>0</x:v>
      </x:c>
      <x:c r="H7" s="28" t="n">
        <x:v>0.03333333333333333</x:v>
      </x:c>
      <x:c r="I7" s="28" t="n">
        <x:v>0.03333333333333333</x:v>
      </x:c>
      <x:c r="J7" s="28" t="n">
        <x:v>0</x:v>
      </x:c>
      <x:c r="K7" s="28" t="n">
        <x:v>0</x:v>
      </x:c>
      <x:c r="L7" s="28" t="n">
        <x:v>0</x:v>
      </x:c>
      <x:c r="M7" s="28" t="n">
        <x:v>0.05</x:v>
      </x:c>
      <x:c r="N7" s="28" t="n">
        <x:v>0</x:v>
      </x:c>
      <x:c r="O7" s="28" t="n">
        <x:v>0</x:v>
      </x:c>
    </x:row>
    <x:row r="8">
      <x:c r="A8" t="str">
        <x:v>A01</x:v>
      </x:c>
      <x:c r="B8" t="str">
        <x:v>F0103</x:v>
      </x:c>
      <x:c r="C8" t="str">
        <x:v>Ecuaciones diferenciales y modelización matemática</x:v>
      </x:c>
      <x:c r="D8" s="28" t="n">
        <x:v>0.016666666666666666</x:v>
      </x:c>
      <x:c r="E8" s="28" t="n">
        <x:v>0</x:v>
      </x:c>
      <x:c r="F8" s="28" t="n">
        <x:v>0</x:v>
      </x:c>
      <x:c r="G8" s="28" t="n">
        <x:v>0</x:v>
      </x:c>
      <x:c r="H8" s="28" t="n">
        <x:v>0</x:v>
      </x:c>
      <x:c r="I8" s="28" t="n">
        <x:v>0</x:v>
      </x:c>
      <x:c r="J8" s="28" t="n">
        <x:v>0</x:v>
      </x:c>
      <x:c r="K8" s="28" t="n">
        <x:v>0</x:v>
      </x:c>
      <x:c r="L8" s="28" t="n">
        <x:v>0</x:v>
      </x:c>
      <x:c r="M8" s="28" t="n">
        <x:v>0</x:v>
      </x:c>
      <x:c r="N8" s="28" t="n">
        <x:v>0</x:v>
      </x:c>
      <x:c r="O8" s="28" t="n">
        <x:v>0</x:v>
      </x:c>
    </x:row>
    <x:row r="9">
      <x:c r="A9" t="str">
        <x:v>A01</x:v>
      </x:c>
      <x:c r="B9" t="str">
        <x:v>F0104</x:v>
      </x:c>
      <x:c r="C9" t="str">
        <x:v>Estadística y probabilidad</x:v>
      </x:c>
      <x:c r="D9" s="28" t="n">
        <x:v>0.016666666666666666</x:v>
      </x:c>
      <x:c r="E9" s="28" t="n">
        <x:v>0.025</x:v>
      </x:c>
      <x:c r="F9" s="28" t="n">
        <x:v>0.025</x:v>
      </x:c>
      <x:c r="G9" s="28" t="n">
        <x:v>0.025</x:v>
      </x:c>
      <x:c r="H9" s="28" t="n">
        <x:v>0</x:v>
      </x:c>
      <x:c r="I9" s="28" t="n">
        <x:v>0.03333333333333333</x:v>
      </x:c>
      <x:c r="J9" s="28" t="n">
        <x:v>0</x:v>
      </x:c>
      <x:c r="K9" s="28" t="n">
        <x:v>0</x:v>
      </x:c>
      <x:c r="L9" s="28" t="n">
        <x:v>0</x:v>
      </x:c>
      <x:c r="M9" s="28" t="n">
        <x:v>0.03333333333333333</x:v>
      </x:c>
      <x:c r="N9" s="28" t="n">
        <x:v>0.03333333333333333</x:v>
      </x:c>
      <x:c r="O9" s="28" t="n">
        <x:v>0.027777777777777776</x:v>
      </x:c>
    </x:row>
    <x:row r="10">
      <x:c r="A10" t="str">
        <x:v>A01</x:v>
      </x:c>
      <x:c r="B10" t="str">
        <x:v>F0105</x:v>
      </x:c>
      <x:c r="C10" t="str">
        <x:v>Diseño experimental y análisis multivariante</x:v>
      </x:c>
      <x:c r="D10" s="28" t="n">
        <x:v>0</x:v>
      </x:c>
      <x:c r="E10" s="28" t="n">
        <x:v>0</x:v>
      </x:c>
      <x:c r="F10" s="28" t="n">
        <x:v>0</x:v>
      </x:c>
      <x:c r="G10" s="28" t="n">
        <x:v>0</x:v>
      </x:c>
      <x:c r="H10" s="28" t="n">
        <x:v>0</x:v>
      </x:c>
      <x:c r="I10" s="28" t="n">
        <x:v>0</x:v>
      </x:c>
      <x:c r="J10" s="28" t="n">
        <x:v>0</x:v>
      </x:c>
      <x:c r="K10" s="28" t="n">
        <x:v>0</x:v>
      </x:c>
      <x:c r="L10" s="28" t="n">
        <x:v>0</x:v>
      </x:c>
      <x:c r="M10" s="28" t="n">
        <x:v>0</x:v>
      </x:c>
      <x:c r="N10" s="28" t="n">
        <x:v>0</x:v>
      </x:c>
      <x:c r="O10" s="28" t="n">
        <x:v>0</x:v>
      </x:c>
    </x:row>
    <x:row r="11">
      <x:c r="A11" t="str">
        <x:v>A01</x:v>
      </x:c>
      <x:c r="B11" t="str">
        <x:v>F0106</x:v>
      </x:c>
      <x:c r="C11" t="str">
        <x:v>Métodos numéricos y programación</x:v>
      </x:c>
      <x:c r="D11" s="28" t="n">
        <x:v>0.016666666666666666</x:v>
      </x:c>
      <x:c r="E11" s="28" t="n">
        <x:v>0</x:v>
      </x:c>
      <x:c r="F11" s="28" t="n">
        <x:v>0</x:v>
      </x:c>
      <x:c r="G11" s="28" t="n">
        <x:v>0</x:v>
      </x:c>
      <x:c r="H11" s="28" t="n">
        <x:v>0</x:v>
      </x:c>
      <x:c r="I11" s="28" t="n">
        <x:v>0.016666666666666666</x:v>
      </x:c>
      <x:c r="J11" s="28" t="n">
        <x:v>0</x:v>
      </x:c>
      <x:c r="K11" s="28" t="n">
        <x:v>0</x:v>
      </x:c>
      <x:c r="L11" s="28" t="n">
        <x:v>0</x:v>
      </x:c>
      <x:c r="M11" s="28" t="n">
        <x:v>0</x:v>
      </x:c>
      <x:c r="N11" s="28" t="n">
        <x:v>0</x:v>
      </x:c>
      <x:c r="O11" s="28" t="n">
        <x:v>0</x:v>
      </x:c>
    </x:row>
    <x:row r="12">
      <x:c r="A12" t="str">
        <x:v>A01</x:v>
      </x:c>
      <x:c r="B12" t="str">
        <x:v>F0107</x:v>
      </x:c>
      <x:c r="C12" t="str">
        <x:v>Informática, bases de datos y software</x:v>
      </x:c>
      <x:c r="D12" s="28" t="n">
        <x:v>0</x:v>
      </x:c>
      <x:c r="E12" s="28" t="n">
        <x:v>0.025</x:v>
      </x:c>
      <x:c r="F12" s="28" t="n">
        <x:v>0</x:v>
      </x:c>
      <x:c r="G12" s="28" t="n">
        <x:v>0</x:v>
      </x:c>
      <x:c r="H12" s="28" t="n">
        <x:v>0</x:v>
      </x:c>
      <x:c r="I12" s="28" t="n">
        <x:v>0.016666666666666666</x:v>
      </x:c>
      <x:c r="J12" s="28" t="n">
        <x:v>0.027777777777777776</x:v>
      </x:c>
      <x:c r="K12" s="28" t="n">
        <x:v>0</x:v>
      </x:c>
      <x:c r="L12" s="28" t="n">
        <x:v>0</x:v>
      </x:c>
      <x:c r="M12" s="28" t="n">
        <x:v>0.03333333333333333</x:v>
      </x:c>
      <x:c r="N12" s="28" t="n">
        <x:v>0</x:v>
      </x:c>
      <x:c r="O12" s="28" t="n">
        <x:v>0</x:v>
      </x:c>
    </x:row>
    <x:row r="13">
      <x:c r="A13" t="str">
        <x:v>A01</x:v>
      </x:c>
      <x:c r="B13" t="str">
        <x:v>F0108</x:v>
      </x:c>
      <x:c r="C13" t="str">
        <x:v>Ciencia de datos, IA y analítica</x:v>
      </x:c>
      <x:c r="D13" s="28" t="n">
        <x:v>0</x:v>
      </x:c>
      <x:c r="E13" s="28" t="n">
        <x:v>0</x:v>
      </x:c>
      <x:c r="F13" s="28" t="n">
        <x:v>0</x:v>
      </x:c>
      <x:c r="G13" s="28" t="n">
        <x:v>0</x:v>
      </x:c>
      <x:c r="H13" s="28" t="n">
        <x:v>0</x:v>
      </x:c>
      <x:c r="I13" s="28" t="n">
        <x:v>0</x:v>
      </x:c>
      <x:c r="J13" s="28" t="n">
        <x:v>0</x:v>
      </x:c>
      <x:c r="K13" s="28" t="n">
        <x:v>0</x:v>
      </x:c>
      <x:c r="L13" s="28" t="n">
        <x:v>0</x:v>
      </x:c>
      <x:c r="M13" s="28" t="n">
        <x:v>0</x:v>
      </x:c>
      <x:c r="N13" s="28" t="n">
        <x:v>0</x:v>
      </x:c>
      <x:c r="O13" s="28" t="n">
        <x:v>0</x:v>
      </x:c>
    </x:row>
    <x:row r="14">
      <x:c r="A14" t="str">
        <x:v>A02</x:v>
      </x:c>
      <x:c r="B14" t="str">
        <x:v>F0201</x:v>
      </x:c>
      <x:c r="C14" t="str">
        <x:v>Física general y aplicada</x:v>
      </x:c>
      <x:c r="D14" s="28" t="n">
        <x:v>0.05</x:v>
      </x:c>
      <x:c r="E14" s="28" t="n">
        <x:v>0.05</x:v>
      </x:c>
      <x:c r="F14" s="28" t="n">
        <x:v>0.05</x:v>
      </x:c>
      <x:c r="G14" s="28" t="n">
        <x:v>0.05</x:v>
      </x:c>
      <x:c r="H14" s="28" t="n">
        <x:v>0.03333333333333333</x:v>
      </x:c>
      <x:c r="I14" s="28" t="n">
        <x:v>0.03333333333333333</x:v>
      </x:c>
      <x:c r="J14" s="28" t="n">
        <x:v>0.027777777777777776</x:v>
      </x:c>
      <x:c r="K14" s="28" t="n">
        <x:v>0.03333333333333333</x:v>
      </x:c>
      <x:c r="L14" s="28" t="n">
        <x:v>0.03333333333333333</x:v>
      </x:c>
      <x:c r="M14" s="28" t="n">
        <x:v>0.05</x:v>
      </x:c>
      <x:c r="N14" s="28" t="n">
        <x:v>0.06666666666666667</x:v>
      </x:c>
      <x:c r="O14" s="28" t="n">
        <x:v>0.06666666666666667</x:v>
      </x:c>
    </x:row>
    <x:row r="15">
      <x:c r="A15" t="str">
        <x:v>A02</x:v>
      </x:c>
      <x:c r="B15" t="str">
        <x:v>F0202</x:v>
      </x:c>
      <x:c r="C15" t="str">
        <x:v>Química general e inorgánica</x:v>
      </x:c>
      <x:c r="D15" s="28" t="n">
        <x:v>0.05</x:v>
      </x:c>
      <x:c r="E15" s="28" t="n">
        <x:v>0.025</x:v>
      </x:c>
      <x:c r="F15" s="28" t="n">
        <x:v>0.05</x:v>
      </x:c>
      <x:c r="G15" s="28" t="n">
        <x:v>0.025</x:v>
      </x:c>
      <x:c r="H15" s="28" t="n">
        <x:v>0.03333333333333333</x:v>
      </x:c>
      <x:c r="I15" s="28" t="n">
        <x:v>0.03333333333333333</x:v>
      </x:c>
      <x:c r="J15" s="28" t="n">
        <x:v>0.027777777777777776</x:v>
      </x:c>
      <x:c r="K15" s="28" t="n">
        <x:v>0.06666666666666667</x:v>
      </x:c>
      <x:c r="L15" s="28" t="n">
        <x:v>0.044444444444444446</x:v>
      </x:c>
      <x:c r="M15" s="28" t="n">
        <x:v>0.05</x:v>
      </x:c>
      <x:c r="N15" s="28" t="n">
        <x:v>0.06666666666666667</x:v>
      </x:c>
      <x:c r="O15" s="28" t="n">
        <x:v>0.03333333333333333</x:v>
      </x:c>
    </x:row>
    <x:row r="16">
      <x:c r="A16" t="str">
        <x:v>A02</x:v>
      </x:c>
      <x:c r="B16" t="str">
        <x:v>F0203</x:v>
      </x:c>
      <x:c r="C16" t="str">
        <x:v>Química orgánica</x:v>
      </x:c>
      <x:c r="D16" s="28" t="n">
        <x:v>0</x:v>
      </x:c>
      <x:c r="E16" s="28" t="n">
        <x:v>0</x:v>
      </x:c>
      <x:c r="F16" s="28" t="n">
        <x:v>0</x:v>
      </x:c>
      <x:c r="G16" s="28" t="n">
        <x:v>0</x:v>
      </x:c>
      <x:c r="H16" s="28" t="n">
        <x:v>0</x:v>
      </x:c>
      <x:c r="I16" s="28" t="n">
        <x:v>0.03333333333333333</x:v>
      </x:c>
      <x:c r="J16" s="28" t="n">
        <x:v>0.027777777777777776</x:v>
      </x:c>
      <x:c r="K16" s="28" t="n">
        <x:v>0.03333333333333333</x:v>
      </x:c>
      <x:c r="L16" s="28" t="n">
        <x:v>0.03333333333333333</x:v>
      </x:c>
      <x:c r="M16" s="28" t="n">
        <x:v>0</x:v>
      </x:c>
      <x:c r="N16" s="28" t="n">
        <x:v>0.03333333333333333</x:v>
      </x:c>
      <x:c r="O16" s="28" t="n">
        <x:v>0</x:v>
      </x:c>
    </x:row>
    <x:row r="17">
      <x:c r="A17" t="str">
        <x:v>A02</x:v>
      </x:c>
      <x:c r="B17" t="str">
        <x:v>F0204</x:v>
      </x:c>
      <x:c r="C17" t="str">
        <x:v>Fisicoquímica</x:v>
      </x:c>
      <x:c r="D17" s="28" t="n">
        <x:v>0</x:v>
      </x:c>
      <x:c r="E17" s="28" t="n">
        <x:v>0</x:v>
      </x:c>
      <x:c r="F17" s="28" t="n">
        <x:v>0</x:v>
      </x:c>
      <x:c r="G17" s="28" t="n">
        <x:v>0</x:v>
      </x:c>
      <x:c r="H17" s="28" t="n">
        <x:v>0</x:v>
      </x:c>
      <x:c r="I17" s="28" t="n">
        <x:v>0</x:v>
      </x:c>
      <x:c r="J17" s="28" t="n">
        <x:v>0</x:v>
      </x:c>
      <x:c r="K17" s="28" t="n">
        <x:v>0</x:v>
      </x:c>
      <x:c r="L17" s="28" t="n">
        <x:v>0</x:v>
      </x:c>
      <x:c r="M17" s="28" t="n">
        <x:v>0</x:v>
      </x:c>
      <x:c r="N17" s="28" t="n">
        <x:v>0</x:v>
      </x:c>
      <x:c r="O17" s="28" t="n">
        <x:v>0</x:v>
      </x:c>
    </x:row>
    <x:row r="18">
      <x:c r="A18" t="str">
        <x:v>A02</x:v>
      </x:c>
      <x:c r="B18" t="str">
        <x:v>F0205</x:v>
      </x:c>
      <x:c r="C18" t="str">
        <x:v>Química analítica general</x:v>
      </x:c>
      <x:c r="D18" s="28" t="n">
        <x:v>0</x:v>
      </x:c>
      <x:c r="E18" s="28" t="n">
        <x:v>0</x:v>
      </x:c>
      <x:c r="F18" s="28" t="n">
        <x:v>0</x:v>
      </x:c>
      <x:c r="G18" s="28" t="n">
        <x:v>0</x:v>
      </x:c>
      <x:c r="H18" s="28" t="n">
        <x:v>0</x:v>
      </x:c>
      <x:c r="I18" s="28" t="n">
        <x:v>0</x:v>
      </x:c>
      <x:c r="J18" s="28" t="n">
        <x:v>0</x:v>
      </x:c>
      <x:c r="K18" s="28" t="n">
        <x:v>0</x:v>
      </x:c>
      <x:c r="L18" s="28" t="n">
        <x:v>0.05</x:v>
      </x:c>
      <x:c r="M18" s="28" t="n">
        <x:v>0</x:v>
      </x:c>
      <x:c r="N18" s="28" t="n">
        <x:v>0</x:v>
      </x:c>
      <x:c r="O18" s="28" t="n">
        <x:v>0</x:v>
      </x:c>
    </x:row>
    <x:row r="19">
      <x:c r="A19" t="str">
        <x:v>A03</x:v>
      </x:c>
      <x:c r="B19" t="str">
        <x:v>F0301</x:v>
      </x:c>
      <x:c r="C19" t="str">
        <x:v>Biología y fisiología</x:v>
      </x:c>
      <x:c r="D19" s="28" t="n">
        <x:v>0.025</x:v>
      </x:c>
      <x:c r="E19" s="28" t="n">
        <x:v>0.025</x:v>
      </x:c>
      <x:c r="F19" s="28" t="n">
        <x:v>0.05</x:v>
      </x:c>
      <x:c r="G19" s="28" t="n">
        <x:v>0.04375</x:v>
      </x:c>
      <x:c r="H19" s="28" t="n">
        <x:v>0</x:v>
      </x:c>
      <x:c r="I19" s="28" t="n">
        <x:v>0.016666666666666666</x:v>
      </x:c>
      <x:c r="J19" s="28" t="n">
        <x:v>0</x:v>
      </x:c>
      <x:c r="K19" s="28" t="n">
        <x:v>0.03333333333333333</x:v>
      </x:c>
      <x:c r="L19" s="28" t="n">
        <x:v>0.044444444444444446</x:v>
      </x:c>
      <x:c r="M19" s="28" t="n">
        <x:v>0</x:v>
      </x:c>
      <x:c r="N19" s="28" t="n">
        <x:v>0.03333333333333333</x:v>
      </x:c>
      <x:c r="O19" s="28" t="n">
        <x:v>0.07777777777777778</x:v>
      </x:c>
    </x:row>
    <x:row r="20">
      <x:c r="A20" t="str">
        <x:v>A03</x:v>
      </x:c>
      <x:c r="B20" t="str">
        <x:v>F0302</x:v>
      </x:c>
      <x:c r="C20" t="str">
        <x:v>Bioquímica y metabolismo</x:v>
      </x:c>
      <x:c r="D20" s="28" t="n">
        <x:v>0.025</x:v>
      </x:c>
      <x:c r="E20" s="28" t="n">
        <x:v>0</x:v>
      </x:c>
      <x:c r="F20" s="28" t="n">
        <x:v>0.025</x:v>
      </x:c>
      <x:c r="G20" s="28" t="n">
        <x:v>0.025</x:v>
      </x:c>
      <x:c r="H20" s="28" t="n">
        <x:v>0.03333333333333333</x:v>
      </x:c>
      <x:c r="I20" s="28" t="n">
        <x:v>0.03333333333333333</x:v>
      </x:c>
      <x:c r="J20" s="28" t="n">
        <x:v>0.027777777777777776</x:v>
      </x:c>
      <x:c r="K20" s="28" t="n">
        <x:v>0.03333333333333333</x:v>
      </x:c>
      <x:c r="L20" s="28" t="n">
        <x:v>0.044444444444444446</x:v>
      </x:c>
      <x:c r="M20" s="28" t="n">
        <x:v>0.05</x:v>
      </x:c>
      <x:c r="N20" s="28" t="n">
        <x:v>0</x:v>
      </x:c>
      <x:c r="O20" s="28" t="n">
        <x:v>0</x:v>
      </x:c>
    </x:row>
    <x:row r="21">
      <x:c r="A21" t="str">
        <x:v>A03</x:v>
      </x:c>
      <x:c r="B21" t="str">
        <x:v>F0303</x:v>
      </x:c>
      <x:c r="C21" t="str">
        <x:v>Microbiología general</x:v>
      </x:c>
      <x:c r="D21" s="28" t="n">
        <x:v>0</x:v>
      </x:c>
      <x:c r="E21" s="28" t="n">
        <x:v>0.025</x:v>
      </x:c>
      <x:c r="F21" s="28" t="n">
        <x:v>0.05</x:v>
      </x:c>
      <x:c r="G21" s="28" t="n">
        <x:v>0.025</x:v>
      </x:c>
      <x:c r="H21" s="28" t="n">
        <x:v>0.03333333333333333</x:v>
      </x:c>
      <x:c r="I21" s="28" t="n">
        <x:v>0.06666666666666667</x:v>
      </x:c>
      <x:c r="J21" s="28" t="n">
        <x:v>0.05555555555555555</x:v>
      </x:c>
      <x:c r="K21" s="28" t="n">
        <x:v>0.06666666666666667</x:v>
      </x:c>
      <x:c r="L21" s="28" t="n">
        <x:v>0.07222222222222222</x:v>
      </x:c>
      <x:c r="M21" s="28" t="n">
        <x:v>0</x:v>
      </x:c>
      <x:c r="N21" s="28" t="n">
        <x:v>0.03333333333333333</x:v>
      </x:c>
      <x:c r="O21" s="28" t="n">
        <x:v>0.027777777777777776</x:v>
      </x:c>
    </x:row>
    <x:row r="22">
      <x:c r="A22" t="str">
        <x:v>A03</x:v>
      </x:c>
      <x:c r="B22" t="str">
        <x:v>F0304</x:v>
      </x:c>
      <x:c r="C22" t="str">
        <x:v>Microbiología alimentaria e industrial</x:v>
      </x:c>
      <x:c r="D22" s="28" t="n">
        <x:v>0.025</x:v>
      </x:c>
      <x:c r="E22" s="28" t="n">
        <x:v>0</x:v>
      </x:c>
      <x:c r="F22" s="28" t="n">
        <x:v>0</x:v>
      </x:c>
      <x:c r="G22" s="28" t="n">
        <x:v>0</x:v>
      </x:c>
      <x:c r="H22" s="28" t="n">
        <x:v>0</x:v>
      </x:c>
      <x:c r="I22" s="28" t="n">
        <x:v>0</x:v>
      </x:c>
      <x:c r="J22" s="28" t="n">
        <x:v>0</x:v>
      </x:c>
      <x:c r="K22" s="28" t="n">
        <x:v>0</x:v>
      </x:c>
      <x:c r="L22" s="28" t="n">
        <x:v>0</x:v>
      </x:c>
      <x:c r="M22" s="28" t="n">
        <x:v>0</x:v>
      </x:c>
      <x:c r="N22" s="28" t="n">
        <x:v>0</x:v>
      </x:c>
      <x:c r="O22" s="28" t="n">
        <x:v>0.027777777777777776</x:v>
      </x:c>
    </x:row>
    <x:row r="23">
      <x:c r="A23" t="str">
        <x:v>A03</x:v>
      </x:c>
      <x:c r="B23" t="str">
        <x:v>F0305</x:v>
      </x:c>
      <x:c r="C23" t="str">
        <x:v>Biotecnología y biología molecular</x:v>
      </x:c>
      <x:c r="D23" s="28" t="n">
        <x:v>0</x:v>
      </x:c>
      <x:c r="E23" s="28" t="n">
        <x:v>0</x:v>
      </x:c>
      <x:c r="F23" s="28" t="n">
        <x:v>0</x:v>
      </x:c>
      <x:c r="G23" s="28" t="n">
        <x:v>0</x:v>
      </x:c>
      <x:c r="H23" s="28" t="n">
        <x:v>0</x:v>
      </x:c>
      <x:c r="I23" s="28" t="n">
        <x:v>0.03333333333333333</x:v>
      </x:c>
      <x:c r="J23" s="28" t="n">
        <x:v>0.05555555555555555</x:v>
      </x:c>
      <x:c r="K23" s="28" t="n">
        <x:v>0</x:v>
      </x:c>
      <x:c r="L23" s="28" t="n">
        <x:v>0</x:v>
      </x:c>
      <x:c r="M23" s="28" t="n">
        <x:v>0</x:v>
      </x:c>
      <x:c r="N23" s="28" t="n">
        <x:v>0.06666666666666667</x:v>
      </x:c>
      <x:c r="O23" s="28" t="n">
        <x:v>0</x:v>
      </x:c>
    </x:row>
    <x:row r="24">
      <x:c r="A24" t="str">
        <x:v>A03</x:v>
      </x:c>
      <x:c r="B24" t="str">
        <x:v>F0306</x:v>
      </x:c>
      <x:c r="C24" t="str">
        <x:v>Bioprocesos y bioproducción</x:v>
      </x:c>
      <x:c r="D24" s="28" t="n">
        <x:v>0</x:v>
      </x:c>
      <x:c r="E24" s="28" t="n">
        <x:v>0</x:v>
      </x:c>
      <x:c r="F24" s="28" t="n">
        <x:v>0</x:v>
      </x:c>
      <x:c r="G24" s="28" t="n">
        <x:v>0</x:v>
      </x:c>
      <x:c r="H24" s="28" t="n">
        <x:v>0</x:v>
      </x:c>
      <x:c r="I24" s="28" t="n">
        <x:v>0</x:v>
      </x:c>
      <x:c r="J24" s="28" t="n">
        <x:v>0</x:v>
      </x:c>
      <x:c r="K24" s="28" t="n">
        <x:v>0</x:v>
      </x:c>
      <x:c r="L24" s="28" t="n">
        <x:v>0</x:v>
      </x:c>
      <x:c r="M24" s="28" t="n">
        <x:v>0</x:v>
      </x:c>
      <x:c r="N24" s="28" t="n">
        <x:v>0</x:v>
      </x:c>
      <x:c r="O24" s="28" t="n">
        <x:v>0</x:v>
      </x:c>
    </x:row>
    <x:row r="25">
      <x:c r="A25" t="str">
        <x:v>A04</x:v>
      </x:c>
      <x:c r="B25" t="str">
        <x:v>F0401</x:v>
      </x:c>
      <x:c r="C25" t="str">
        <x:v>Termodinámica</x:v>
      </x:c>
      <x:c r="D25" s="28" t="n">
        <x:v>0</x:v>
      </x:c>
      <x:c r="E25" s="28" t="n">
        <x:v>0</x:v>
      </x:c>
      <x:c r="F25" s="28" t="n">
        <x:v>0</x:v>
      </x:c>
      <x:c r="G25" s="28" t="n">
        <x:v>0</x:v>
      </x:c>
      <x:c r="H25" s="28" t="n">
        <x:v>0</x:v>
      </x:c>
      <x:c r="I25" s="28" t="n">
        <x:v>0.016666666666666666</x:v>
      </x:c>
      <x:c r="J25" s="28" t="n">
        <x:v>0</x:v>
      </x:c>
      <x:c r="K25" s="28" t="n">
        <x:v>0</x:v>
      </x:c>
      <x:c r="L25" s="28" t="n">
        <x:v>0</x:v>
      </x:c>
      <x:c r="M25" s="28" t="n">
        <x:v>0.05</x:v>
      </x:c>
      <x:c r="N25" s="28" t="n">
        <x:v>0</x:v>
      </x:c>
      <x:c r="O25" s="28" t="n">
        <x:v>0.027777777777777776</x:v>
      </x:c>
    </x:row>
    <x:row r="26">
      <x:c r="A26" t="str">
        <x:v>A04</x:v>
      </x:c>
      <x:c r="B26" t="str">
        <x:v>F0402</x:v>
      </x:c>
      <x:c r="C26" t="str">
        <x:v>Mecánica de fluidos e hidráulica</x:v>
      </x:c>
      <x:c r="D26" s="28" t="n">
        <x:v>0</x:v>
      </x:c>
      <x:c r="E26" s="28" t="n">
        <x:v>0.025</x:v>
      </x:c>
      <x:c r="F26" s="28" t="n">
        <x:v>0.025</x:v>
      </x:c>
      <x:c r="G26" s="28" t="n">
        <x:v>0.01875</x:v>
      </x:c>
      <x:c r="H26" s="28" t="n">
        <x:v>0</x:v>
      </x:c>
      <x:c r="I26" s="28" t="n">
        <x:v>0</x:v>
      </x:c>
      <x:c r="J26" s="28" t="n">
        <x:v>0</x:v>
      </x:c>
      <x:c r="K26" s="28" t="n">
        <x:v>0</x:v>
      </x:c>
      <x:c r="L26" s="28" t="n">
        <x:v>0</x:v>
      </x:c>
      <x:c r="M26" s="28" t="n">
        <x:v>0</x:v>
      </x:c>
      <x:c r="N26" s="28" t="n">
        <x:v>0</x:v>
      </x:c>
      <x:c r="O26" s="28" t="n">
        <x:v>0.027777777777777776</x:v>
      </x:c>
    </x:row>
    <x:row r="27">
      <x:c r="A27" t="str">
        <x:v>A04</x:v>
      </x:c>
      <x:c r="B27" t="str">
        <x:v>F0403</x:v>
      </x:c>
      <x:c r="C27" t="str">
        <x:v>Transferencia de calor</x:v>
      </x:c>
      <x:c r="D27" s="28" t="n">
        <x:v>0.025</x:v>
      </x:c>
      <x:c r="E27" s="28" t="n">
        <x:v>0</x:v>
      </x:c>
      <x:c r="F27" s="28" t="n">
        <x:v>0</x:v>
      </x:c>
      <x:c r="G27" s="28" t="n">
        <x:v>0</x:v>
      </x:c>
      <x:c r="H27" s="28" t="n">
        <x:v>0</x:v>
      </x:c>
      <x:c r="I27" s="28" t="n">
        <x:v>0.03333333333333333</x:v>
      </x:c>
      <x:c r="J27" s="28" t="n">
        <x:v>0.027777777777777776</x:v>
      </x:c>
      <x:c r="K27" s="28" t="n">
        <x:v>0</x:v>
      </x:c>
      <x:c r="L27" s="28" t="n">
        <x:v>0</x:v>
      </x:c>
      <x:c r="M27" s="28" t="n">
        <x:v>0</x:v>
      </x:c>
      <x:c r="N27" s="28" t="n">
        <x:v>0</x:v>
      </x:c>
      <x:c r="O27" s="28" t="n">
        <x:v>0</x:v>
      </x:c>
    </x:row>
    <x:row r="28">
      <x:c r="A28" t="str">
        <x:v>A04</x:v>
      </x:c>
      <x:c r="B28" t="str">
        <x:v>F0404</x:v>
      </x:c>
      <x:c r="C28" t="str">
        <x:v>Transferencia de masa</x:v>
      </x:c>
      <x:c r="D28" s="28" t="n">
        <x:v>0</x:v>
      </x:c>
      <x:c r="E28" s="28" t="n">
        <x:v>0</x:v>
      </x:c>
      <x:c r="F28" s="28" t="n">
        <x:v>0</x:v>
      </x:c>
      <x:c r="G28" s="28" t="n">
        <x:v>0</x:v>
      </x:c>
      <x:c r="H28" s="28" t="n">
        <x:v>0</x:v>
      </x:c>
      <x:c r="I28" s="28" t="n">
        <x:v>0</x:v>
      </x:c>
      <x:c r="J28" s="28" t="n">
        <x:v>0</x:v>
      </x:c>
      <x:c r="K28" s="28" t="n">
        <x:v>0</x:v>
      </x:c>
      <x:c r="L28" s="28" t="n">
        <x:v>0</x:v>
      </x:c>
      <x:c r="M28" s="28" t="n">
        <x:v>0</x:v>
      </x:c>
      <x:c r="N28" s="28" t="n">
        <x:v>0</x:v>
      </x:c>
      <x:c r="O28" s="28" t="n">
        <x:v>0</x:v>
      </x:c>
    </x:row>
    <x:row r="29">
      <x:c r="A29" t="str">
        <x:v>A04</x:v>
      </x:c>
      <x:c r="B29" t="str">
        <x:v>F0405</x:v>
      </x:c>
      <x:c r="C29" t="str">
        <x:v>Mecánica, resistencia y materiales</x:v>
      </x:c>
      <x:c r="D29" s="28" t="n">
        <x:v>0.020833333333333332</x:v>
      </x:c>
      <x:c r="E29" s="28" t="n">
        <x:v>0</x:v>
      </x:c>
      <x:c r="F29" s="28" t="n">
        <x:v>0</x:v>
      </x:c>
      <x:c r="G29" s="28" t="n">
        <x:v>0.01875</x:v>
      </x:c>
      <x:c r="H29" s="28" t="n">
        <x:v>0</x:v>
      </x:c>
      <x:c r="I29" s="28" t="n">
        <x:v>0</x:v>
      </x:c>
      <x:c r="J29" s="28" t="n">
        <x:v>0</x:v>
      </x:c>
      <x:c r="K29" s="28" t="n">
        <x:v>0</x:v>
      </x:c>
      <x:c r="L29" s="28" t="n">
        <x:v>0</x:v>
      </x:c>
      <x:c r="M29" s="28" t="n">
        <x:v>0.05</x:v>
      </x:c>
      <x:c r="N29" s="28" t="n">
        <x:v>0</x:v>
      </x:c>
      <x:c r="O29" s="28" t="n">
        <x:v>0.044444444444444446</x:v>
      </x:c>
    </x:row>
    <x:row r="30">
      <x:c r="A30" t="str">
        <x:v>A04</x:v>
      </x:c>
      <x:c r="B30" t="str">
        <x:v>F0406</x:v>
      </x:c>
      <x:c r="C30" t="str">
        <x:v>Estructuras y construcción básica</x:v>
      </x:c>
      <x:c r="D30" s="28" t="n">
        <x:v>0.05</x:v>
      </x:c>
      <x:c r="E30" s="28" t="n">
        <x:v>0.025</x:v>
      </x:c>
      <x:c r="F30" s="28" t="n">
        <x:v>0.025</x:v>
      </x:c>
      <x:c r="G30" s="28" t="n">
        <x:v>0</x:v>
      </x:c>
      <x:c r="H30" s="28" t="n">
        <x:v>0</x:v>
      </x:c>
      <x:c r="I30" s="28" t="n">
        <x:v>0</x:v>
      </x:c>
      <x:c r="J30" s="28" t="n">
        <x:v>0</x:v>
      </x:c>
      <x:c r="K30" s="28" t="n">
        <x:v>0</x:v>
      </x:c>
      <x:c r="L30" s="28" t="n">
        <x:v>0</x:v>
      </x:c>
      <x:c r="M30" s="28" t="n">
        <x:v>0</x:v>
      </x:c>
      <x:c r="N30" s="28" t="n">
        <x:v>0</x:v>
      </x:c>
      <x:c r="O30" s="28" t="n">
        <x:v>0</x:v>
      </x:c>
    </x:row>
    <x:row r="31">
      <x:c r="A31" t="str">
        <x:v>A04</x:v>
      </x:c>
      <x:c r="B31" t="str">
        <x:v>F0407</x:v>
      </x:c>
      <x:c r="C31" t="str">
        <x:v>Electrotecnia y electrónica</x:v>
      </x:c>
      <x:c r="D31" s="28" t="n">
        <x:v>0.025</x:v>
      </x:c>
      <x:c r="E31" s="28" t="n">
        <x:v>0.025</x:v>
      </x:c>
      <x:c r="F31" s="28" t="n">
        <x:v>0</x:v>
      </x:c>
      <x:c r="G31" s="28" t="n">
        <x:v>0.01875</x:v>
      </x:c>
      <x:c r="H31" s="28" t="n">
        <x:v>0</x:v>
      </x:c>
      <x:c r="I31" s="28" t="n">
        <x:v>0</x:v>
      </x:c>
      <x:c r="J31" s="28" t="n">
        <x:v>0</x:v>
      </x:c>
      <x:c r="K31" s="28" t="n">
        <x:v>0</x:v>
      </x:c>
      <x:c r="L31" s="28" t="n">
        <x:v>0</x:v>
      </x:c>
      <x:c r="M31" s="28" t="n">
        <x:v>0</x:v>
      </x:c>
      <x:c r="N31" s="28" t="n">
        <x:v>0</x:v>
      </x:c>
      <x:c r="O31" s="28" t="n">
        <x:v>0</x:v>
      </x:c>
    </x:row>
    <x:row r="32">
      <x:c r="A32" t="str">
        <x:v>A05</x:v>
      </x:c>
      <x:c r="B32" t="str">
        <x:v>F0501</x:v>
      </x:c>
      <x:c r="C32" t="str">
        <x:v>Balances de materia y energía</x:v>
      </x:c>
      <x:c r="D32" s="28" t="n">
        <x:v>0</x:v>
      </x:c>
      <x:c r="E32" s="28" t="n">
        <x:v>0</x:v>
      </x:c>
      <x:c r="F32" s="28" t="n">
        <x:v>0</x:v>
      </x:c>
      <x:c r="G32" s="28" t="n">
        <x:v>0</x:v>
      </x:c>
      <x:c r="H32" s="28" t="n">
        <x:v>0</x:v>
      </x:c>
      <x:c r="I32" s="28" t="n">
        <x:v>0</x:v>
      </x:c>
      <x:c r="J32" s="28" t="n">
        <x:v>0</x:v>
      </x:c>
      <x:c r="K32" s="28" t="n">
        <x:v>0</x:v>
      </x:c>
      <x:c r="L32" s="28" t="n">
        <x:v>0</x:v>
      </x:c>
      <x:c r="M32" s="28" t="n">
        <x:v>0</x:v>
      </x:c>
      <x:c r="N32" s="28" t="n">
        <x:v>0</x:v>
      </x:c>
      <x:c r="O32" s="28" t="n">
        <x:v>0</x:v>
      </x:c>
    </x:row>
    <x:row r="33">
      <x:c r="A33" t="str">
        <x:v>A05</x:v>
      </x:c>
      <x:c r="B33" t="str">
        <x:v>F0502</x:v>
      </x:c>
      <x:c r="C33" t="str">
        <x:v>Operaciones unitarias generales</x:v>
      </x:c>
      <x:c r="D33" s="28" t="n">
        <x:v>0.041666666666666664</x:v>
      </x:c>
      <x:c r="E33" s="28" t="n">
        <x:v>0.025</x:v>
      </x:c>
      <x:c r="F33" s="28" t="n">
        <x:v>0.025</x:v>
      </x:c>
      <x:c r="G33" s="28" t="n">
        <x:v>0.05</x:v>
      </x:c>
      <x:c r="H33" s="28" t="n">
        <x:v>0.06666666666666667</x:v>
      </x:c>
      <x:c r="I33" s="28" t="n">
        <x:v>0</x:v>
      </x:c>
      <x:c r="J33" s="28" t="n">
        <x:v>0.027777777777777776</x:v>
      </x:c>
      <x:c r="K33" s="28" t="n">
        <x:v>0.03333333333333333</x:v>
      </x:c>
      <x:c r="L33" s="28" t="n">
        <x:v>0.03888888888888889</x:v>
      </x:c>
      <x:c r="M33" s="28" t="n">
        <x:v>0.05</x:v>
      </x:c>
      <x:c r="N33" s="28" t="n">
        <x:v>0.03333333333333333</x:v>
      </x:c>
      <x:c r="O33" s="28" t="n">
        <x:v>0</x:v>
      </x:c>
    </x:row>
    <x:row r="34">
      <x:c r="A34" t="str">
        <x:v>A05</x:v>
      </x:c>
      <x:c r="B34" t="str">
        <x:v>F0503</x:v>
      </x:c>
      <x:c r="C34" t="str">
        <x:v>Tratamientos térmicos y esterilización</x:v>
      </x:c>
      <x:c r="D34" s="28" t="n">
        <x:v>0</x:v>
      </x:c>
      <x:c r="E34" s="28" t="n">
        <x:v>0</x:v>
      </x:c>
      <x:c r="F34" s="28" t="n">
        <x:v>0</x:v>
      </x:c>
      <x:c r="G34" s="28" t="n">
        <x:v>0</x:v>
      </x:c>
      <x:c r="H34" s="28" t="n">
        <x:v>0</x:v>
      </x:c>
      <x:c r="I34" s="28" t="n">
        <x:v>0</x:v>
      </x:c>
      <x:c r="J34" s="28" t="n">
        <x:v>0</x:v>
      </x:c>
      <x:c r="K34" s="28" t="n">
        <x:v>0</x:v>
      </x:c>
      <x:c r="L34" s="28" t="n">
        <x:v>0</x:v>
      </x:c>
      <x:c r="M34" s="28" t="n">
        <x:v>0</x:v>
      </x:c>
      <x:c r="N34" s="28" t="n">
        <x:v>0</x:v>
      </x:c>
      <x:c r="O34" s="28" t="n">
        <x:v>0</x:v>
      </x:c>
    </x:row>
    <x:row r="35">
      <x:c r="A35" t="str">
        <x:v>A05</x:v>
      </x:c>
      <x:c r="B35" t="str">
        <x:v>F0504</x:v>
      </x:c>
      <x:c r="C35" t="str">
        <x:v>Refrigeración, congelación y cadena de frío</x:v>
      </x:c>
      <x:c r="D35" s="28" t="n">
        <x:v>0.016666666666666666</x:v>
      </x:c>
      <x:c r="E35" s="28" t="n">
        <x:v>0</x:v>
      </x:c>
      <x:c r="F35" s="28" t="n">
        <x:v>0</x:v>
      </x:c>
      <x:c r="G35" s="28" t="n">
        <x:v>0</x:v>
      </x:c>
      <x:c r="H35" s="28" t="n">
        <x:v>0</x:v>
      </x:c>
      <x:c r="I35" s="28" t="n">
        <x:v>0</x:v>
      </x:c>
      <x:c r="J35" s="28" t="n">
        <x:v>0</x:v>
      </x:c>
      <x:c r="K35" s="28" t="n">
        <x:v>0</x:v>
      </x:c>
      <x:c r="L35" s="28" t="n">
        <x:v>0</x:v>
      </x:c>
      <x:c r="M35" s="28" t="n">
        <x:v>0</x:v>
      </x:c>
      <x:c r="N35" s="28" t="n">
        <x:v>0</x:v>
      </x:c>
      <x:c r="O35" s="28" t="n">
        <x:v>0</x:v>
      </x:c>
    </x:row>
    <x:row r="36">
      <x:c r="A36" t="str">
        <x:v>A05</x:v>
      </x:c>
      <x:c r="B36" t="str">
        <x:v>F0505</x:v>
      </x:c>
      <x:c r="C36" t="str">
        <x:v>Secado y deshidratación</x:v>
      </x:c>
      <x:c r="D36" s="28" t="n">
        <x:v>0</x:v>
      </x:c>
      <x:c r="E36" s="28" t="n">
        <x:v>0</x:v>
      </x:c>
      <x:c r="F36" s="28" t="n">
        <x:v>0</x:v>
      </x:c>
      <x:c r="G36" s="28" t="n">
        <x:v>0</x:v>
      </x:c>
      <x:c r="H36" s="28" t="n">
        <x:v>0</x:v>
      </x:c>
      <x:c r="I36" s="28" t="n">
        <x:v>0</x:v>
      </x:c>
      <x:c r="J36" s="28" t="n">
        <x:v>0</x:v>
      </x:c>
      <x:c r="K36" s="28" t="n">
        <x:v>0</x:v>
      </x:c>
      <x:c r="L36" s="28" t="n">
        <x:v>0</x:v>
      </x:c>
      <x:c r="M36" s="28" t="n">
        <x:v>0</x:v>
      </x:c>
      <x:c r="N36" s="28" t="n">
        <x:v>0</x:v>
      </x:c>
      <x:c r="O36" s="28" t="n">
        <x:v>0</x:v>
      </x:c>
    </x:row>
    <x:row r="37">
      <x:c r="A37" t="str">
        <x:v>A05</x:v>
      </x:c>
      <x:c r="B37" t="str">
        <x:v>F0506</x:v>
      </x:c>
      <x:c r="C37" t="str">
        <x:v>Evaporación y concentración</x:v>
      </x:c>
      <x:c r="D37" s="28" t="n">
        <x:v>0</x:v>
      </x:c>
      <x:c r="E37" s="28" t="n">
        <x:v>0</x:v>
      </x:c>
      <x:c r="F37" s="28" t="n">
        <x:v>0</x:v>
      </x:c>
      <x:c r="G37" s="28" t="n">
        <x:v>0</x:v>
      </x:c>
      <x:c r="H37" s="28" t="n">
        <x:v>0</x:v>
      </x:c>
      <x:c r="I37" s="28" t="n">
        <x:v>0</x:v>
      </x:c>
      <x:c r="J37" s="28" t="n">
        <x:v>0</x:v>
      </x:c>
      <x:c r="K37" s="28" t="n">
        <x:v>0</x:v>
      </x:c>
      <x:c r="L37" s="28" t="n">
        <x:v>0</x:v>
      </x:c>
      <x:c r="M37" s="28" t="n">
        <x:v>0</x:v>
      </x:c>
      <x:c r="N37" s="28" t="n">
        <x:v>0</x:v>
      </x:c>
      <x:c r="O37" s="28" t="n">
        <x:v>0</x:v>
      </x:c>
    </x:row>
    <x:row r="38">
      <x:c r="A38" t="str">
        <x:v>A05</x:v>
      </x:c>
      <x:c r="B38" t="str">
        <x:v>F0507</x:v>
      </x:c>
      <x:c r="C38" t="str">
        <x:v>Destilación, extracción y absorción</x:v>
      </x:c>
      <x:c r="D38" s="28" t="n">
        <x:v>0</x:v>
      </x:c>
      <x:c r="E38" s="28" t="n">
        <x:v>0</x:v>
      </x:c>
      <x:c r="F38" s="28" t="n">
        <x:v>0</x:v>
      </x:c>
      <x:c r="G38" s="28" t="n">
        <x:v>0</x:v>
      </x:c>
      <x:c r="H38" s="28" t="n">
        <x:v>0</x:v>
      </x:c>
      <x:c r="I38" s="28" t="n">
        <x:v>0</x:v>
      </x:c>
      <x:c r="J38" s="28" t="n">
        <x:v>0</x:v>
      </x:c>
      <x:c r="K38" s="28" t="n">
        <x:v>0</x:v>
      </x:c>
      <x:c r="L38" s="28" t="n">
        <x:v>0</x:v>
      </x:c>
      <x:c r="M38" s="28" t="n">
        <x:v>0</x:v>
      </x:c>
      <x:c r="N38" s="28" t="n">
        <x:v>0</x:v>
      </x:c>
      <x:c r="O38" s="28" t="n">
        <x:v>0</x:v>
      </x:c>
    </x:row>
    <x:row r="39">
      <x:c r="A39" t="str">
        <x:v>A05</x:v>
      </x:c>
      <x:c r="B39" t="str">
        <x:v>F0508</x:v>
      </x:c>
      <x:c r="C39" t="str">
        <x:v>Membranas y separaciones avanzadas</x:v>
      </x:c>
      <x:c r="D39" s="28" t="n">
        <x:v>0</x:v>
      </x:c>
      <x:c r="E39" s="28" t="n">
        <x:v>0</x:v>
      </x:c>
      <x:c r="F39" s="28" t="n">
        <x:v>0</x:v>
      </x:c>
      <x:c r="G39" s="28" t="n">
        <x:v>0</x:v>
      </x:c>
      <x:c r="H39" s="28" t="n">
        <x:v>0</x:v>
      </x:c>
      <x:c r="I39" s="28" t="n">
        <x:v>0</x:v>
      </x:c>
      <x:c r="J39" s="28" t="n">
        <x:v>0</x:v>
      </x:c>
      <x:c r="K39" s="28" t="n">
        <x:v>0</x:v>
      </x:c>
      <x:c r="L39" s="28" t="n">
        <x:v>0</x:v>
      </x:c>
      <x:c r="M39" s="28" t="n">
        <x:v>0</x:v>
      </x:c>
      <x:c r="N39" s="28" t="n">
        <x:v>0</x:v>
      </x:c>
      <x:c r="O39" s="28" t="n">
        <x:v>0</x:v>
      </x:c>
    </x:row>
    <x:row r="40">
      <x:c r="A40" t="str">
        <x:v>A05</x:v>
      </x:c>
      <x:c r="B40" t="str">
        <x:v>F0509</x:v>
      </x:c>
      <x:c r="C40" t="str">
        <x:v>Ingeniería de reactores y cinética</x:v>
      </x:c>
      <x:c r="D40" s="28" t="n">
        <x:v>0</x:v>
      </x:c>
      <x:c r="E40" s="28" t="n">
        <x:v>0</x:v>
      </x:c>
      <x:c r="F40" s="28" t="n">
        <x:v>0</x:v>
      </x:c>
      <x:c r="G40" s="28" t="n">
        <x:v>0</x:v>
      </x:c>
      <x:c r="H40" s="28" t="n">
        <x:v>0</x:v>
      </x:c>
      <x:c r="I40" s="28" t="n">
        <x:v>0</x:v>
      </x:c>
      <x:c r="J40" s="28" t="n">
        <x:v>0</x:v>
      </x:c>
      <x:c r="K40" s="28" t="n">
        <x:v>0</x:v>
      </x:c>
      <x:c r="L40" s="28" t="n">
        <x:v>0</x:v>
      </x:c>
      <x:c r="M40" s="28" t="n">
        <x:v>0</x:v>
      </x:c>
      <x:c r="N40" s="28" t="n">
        <x:v>0</x:v>
      </x:c>
      <x:c r="O40" s="28" t="n">
        <x:v>0</x:v>
      </x:c>
    </x:row>
    <x:row r="41">
      <x:c r="A41" t="str">
        <x:v>A05</x:v>
      </x:c>
      <x:c r="B41" t="str">
        <x:v>F0510</x:v>
      </x:c>
      <x:c r="C41" t="str">
        <x:v>Modelización, simulación y optimización de procesos</x:v>
      </x:c>
      <x:c r="D41" s="28" t="n">
        <x:v>0</x:v>
      </x:c>
      <x:c r="E41" s="28" t="n">
        <x:v>0</x:v>
      </x:c>
      <x:c r="F41" s="28" t="n">
        <x:v>0</x:v>
      </x:c>
      <x:c r="G41" s="28" t="n">
        <x:v>0</x:v>
      </x:c>
      <x:c r="H41" s="28" t="n">
        <x:v>0</x:v>
      </x:c>
      <x:c r="I41" s="28" t="n">
        <x:v>0</x:v>
      </x:c>
      <x:c r="J41" s="28" t="n">
        <x:v>0</x:v>
      </x:c>
      <x:c r="K41" s="28" t="n">
        <x:v>0</x:v>
      </x:c>
      <x:c r="L41" s="28" t="n">
        <x:v>0</x:v>
      </x:c>
      <x:c r="M41" s="28" t="n">
        <x:v>0</x:v>
      </x:c>
      <x:c r="N41" s="28" t="n">
        <x:v>0</x:v>
      </x:c>
      <x:c r="O41" s="28" t="n">
        <x:v>0</x:v>
      </x:c>
    </x:row>
    <x:row r="42">
      <x:c r="A42" t="str">
        <x:v>A06</x:v>
      </x:c>
      <x:c r="B42" t="str">
        <x:v>F0601</x:v>
      </x:c>
      <x:c r="C42" t="str">
        <x:v>Química y bioquímica de alimentos</x:v>
      </x:c>
      <x:c r="D42" s="28" t="n">
        <x:v>0</x:v>
      </x:c>
      <x:c r="E42" s="28" t="n">
        <x:v>0.025</x:v>
      </x:c>
      <x:c r="F42" s="28" t="n">
        <x:v>0</x:v>
      </x:c>
      <x:c r="G42" s="28" t="n">
        <x:v>0</x:v>
      </x:c>
      <x:c r="H42" s="28" t="n">
        <x:v>0.03333333333333333</x:v>
      </x:c>
      <x:c r="I42" s="28" t="n">
        <x:v>0.03333333333333333</x:v>
      </x:c>
      <x:c r="J42" s="28" t="n">
        <x:v>0.05555555555555555</x:v>
      </x:c>
      <x:c r="K42" s="28" t="n">
        <x:v>0.05</x:v>
      </x:c>
      <x:c r="L42" s="28" t="n">
        <x:v>0</x:v>
      </x:c>
      <x:c r="M42" s="28" t="n">
        <x:v>0</x:v>
      </x:c>
      <x:c r="N42" s="28" t="n">
        <x:v>0.03333333333333333</x:v>
      </x:c>
      <x:c r="O42" s="28" t="n">
        <x:v>0.027777777777777776</x:v>
      </x:c>
    </x:row>
    <x:row r="43">
      <x:c r="A43" t="str">
        <x:v>A06</x:v>
      </x:c>
      <x:c r="B43" t="str">
        <x:v>F0602</x:v>
      </x:c>
      <x:c r="C43" t="str">
        <x:v>Física, reología y estructura de alimentos</x:v>
      </x:c>
      <x:c r="D43" s="28" t="n">
        <x:v>0</x:v>
      </x:c>
      <x:c r="E43" s="28" t="n">
        <x:v>0</x:v>
      </x:c>
      <x:c r="F43" s="28" t="n">
        <x:v>0</x:v>
      </x:c>
      <x:c r="G43" s="28" t="n">
        <x:v>0</x:v>
      </x:c>
      <x:c r="H43" s="28" t="n">
        <x:v>0</x:v>
      </x:c>
      <x:c r="I43" s="28" t="n">
        <x:v>0.03333333333333333</x:v>
      </x:c>
      <x:c r="J43" s="28" t="n">
        <x:v>0.022222222222222223</x:v>
      </x:c>
      <x:c r="K43" s="28" t="n">
        <x:v>0</x:v>
      </x:c>
      <x:c r="L43" s="28" t="n">
        <x:v>0</x:v>
      </x:c>
      <x:c r="M43" s="28" t="n">
        <x:v>0</x:v>
      </x:c>
      <x:c r="N43" s="28" t="n">
        <x:v>0</x:v>
      </x:c>
      <x:c r="O43" s="28" t="n">
        <x:v>0</x:v>
      </x:c>
    </x:row>
    <x:row r="44">
      <x:c r="A44" t="str">
        <x:v>A06</x:v>
      </x:c>
      <x:c r="B44" t="str">
        <x:v>F0603</x:v>
      </x:c>
      <x:c r="C44" t="str">
        <x:v>Ingredientes y funcionalidad tecnológica</x:v>
      </x:c>
      <x:c r="D44" s="28" t="n">
        <x:v>0</x:v>
      </x:c>
      <x:c r="E44" s="28" t="n">
        <x:v>0</x:v>
      </x:c>
      <x:c r="F44" s="28" t="n">
        <x:v>0</x:v>
      </x:c>
      <x:c r="G44" s="28" t="n">
        <x:v>0</x:v>
      </x:c>
      <x:c r="H44" s="28" t="n">
        <x:v>0</x:v>
      </x:c>
      <x:c r="I44" s="28" t="n">
        <x:v>0</x:v>
      </x:c>
      <x:c r="J44" s="28" t="n">
        <x:v>0.027777777777777776</x:v>
      </x:c>
      <x:c r="K44" s="28" t="n">
        <x:v>0.016666666666666666</x:v>
      </x:c>
      <x:c r="L44" s="28" t="n">
        <x:v>0</x:v>
      </x:c>
      <x:c r="M44" s="28" t="n">
        <x:v>0</x:v>
      </x:c>
      <x:c r="N44" s="28" t="n">
        <x:v>0</x:v>
      </x:c>
      <x:c r="O44" s="28" t="n">
        <x:v>0</x:v>
      </x:c>
    </x:row>
    <x:row r="45">
      <x:c r="A45" t="str">
        <x:v>A06</x:v>
      </x:c>
      <x:c r="B45" t="str">
        <x:v>F0604</x:v>
      </x:c>
      <x:c r="C45" t="str">
        <x:v>Tecnología / procesamiento general de alimentos</x:v>
      </x:c>
      <x:c r="D45" s="28" t="n">
        <x:v>0</x:v>
      </x:c>
      <x:c r="E45" s="28" t="n">
        <x:v>0.025</x:v>
      </x:c>
      <x:c r="F45" s="28" t="n">
        <x:v>0.05</x:v>
      </x:c>
      <x:c r="G45" s="28" t="n">
        <x:v>0</x:v>
      </x:c>
      <x:c r="H45" s="28" t="n">
        <x:v>0.06666666666666667</x:v>
      </x:c>
      <x:c r="I45" s="28" t="n">
        <x:v>0.15</x:v>
      </x:c>
      <x:c r="J45" s="28" t="n">
        <x:v>0</x:v>
      </x:c>
      <x:c r="K45" s="28" t="n">
        <x:v>0.06666666666666667</x:v>
      </x:c>
      <x:c r="L45" s="28" t="n">
        <x:v>0.05</x:v>
      </x:c>
      <x:c r="M45" s="28" t="n">
        <x:v>0</x:v>
      </x:c>
      <x:c r="N45" s="28" t="n">
        <x:v>0.03333333333333333</x:v>
      </x:c>
      <x:c r="O45" s="28" t="n">
        <x:v>0.08333333333333333</x:v>
      </x:c>
    </x:row>
    <x:row r="46">
      <x:c r="A46" t="str">
        <x:v>A06</x:v>
      </x:c>
      <x:c r="B46" t="str">
        <x:v>F0605</x:v>
      </x:c>
      <x:c r="C46" t="str">
        <x:v>Conservación de alimentos y tecnologías emergentes</x:v>
      </x:c>
      <x:c r="D46" s="28" t="n">
        <x:v>0.016666666666666666</x:v>
      </x:c>
      <x:c r="E46" s="28" t="n">
        <x:v>0.0125</x:v>
      </x:c>
      <x:c r="F46" s="28" t="n">
        <x:v>0</x:v>
      </x:c>
      <x:c r="G46" s="28" t="n">
        <x:v>0</x:v>
      </x:c>
      <x:c r="H46" s="28" t="n">
        <x:v>0.03333333333333333</x:v>
      </x:c>
      <x:c r="I46" s="28" t="n">
        <x:v>0</x:v>
      </x:c>
      <x:c r="J46" s="28" t="n">
        <x:v>0.027777777777777776</x:v>
      </x:c>
      <x:c r="K46" s="28" t="n">
        <x:v>0</x:v>
      </x:c>
      <x:c r="L46" s="28" t="n">
        <x:v>0</x:v>
      </x:c>
      <x:c r="M46" s="28" t="n">
        <x:v>0</x:v>
      </x:c>
      <x:c r="N46" s="28" t="n">
        <x:v>0</x:v>
      </x:c>
      <x:c r="O46" s="28" t="n">
        <x:v>0</x:v>
      </x:c>
    </x:row>
    <x:row r="47">
      <x:c r="A47" t="str">
        <x:v>A06</x:v>
      </x:c>
      <x:c r="B47" t="str">
        <x:v>F0606</x:v>
      </x:c>
      <x:c r="C47" t="str">
        <x:v>Formulación y diseño tecnológico del alimento</x:v>
      </x:c>
      <x:c r="D47" s="28" t="n">
        <x:v>0</x:v>
      </x:c>
      <x:c r="E47" s="28" t="n">
        <x:v>0</x:v>
      </x:c>
      <x:c r="F47" s="28" t="n">
        <x:v>0</x:v>
      </x:c>
      <x:c r="G47" s="28" t="n">
        <x:v>0</x:v>
      </x:c>
      <x:c r="H47" s="28" t="n">
        <x:v>0</x:v>
      </x:c>
      <x:c r="I47" s="28" t="n">
        <x:v>0</x:v>
      </x:c>
      <x:c r="J47" s="28" t="n">
        <x:v>0</x:v>
      </x:c>
      <x:c r="K47" s="28" t="n">
        <x:v>0</x:v>
      </x:c>
      <x:c r="L47" s="28" t="n">
        <x:v>0</x:v>
      </x:c>
      <x:c r="M47" s="28" t="n">
        <x:v>0.05</x:v>
      </x:c>
      <x:c r="N47" s="28" t="n">
        <x:v>0</x:v>
      </x:c>
      <x:c r="O47" s="28" t="n">
        <x:v>0</x:v>
      </x:c>
    </x:row>
    <x:row r="48">
      <x:c r="A48" t="str">
        <x:v>A07</x:v>
      </x:c>
      <x:c r="B48" t="str">
        <x:v>F0701</x:v>
      </x:c>
      <x:c r="C48" t="str">
        <x:v>Tecnología de lácteos</x:v>
      </x:c>
      <x:c r="D48" s="28" t="n">
        <x:v>0.016666666666666666</x:v>
      </x:c>
      <x:c r="E48" s="28" t="n">
        <x:v>0</x:v>
      </x:c>
      <x:c r="F48" s="28" t="n">
        <x:v>0</x:v>
      </x:c>
      <x:c r="G48" s="28" t="n">
        <x:v>0</x:v>
      </x:c>
      <x:c r="H48" s="28" t="n">
        <x:v>0.03333333333333333</x:v>
      </x:c>
      <x:c r="I48" s="28" t="n">
        <x:v>0</x:v>
      </x:c>
      <x:c r="J48" s="28" t="n">
        <x:v>0.022222222222222223</x:v>
      </x:c>
      <x:c r="K48" s="28" t="n">
        <x:v>0</x:v>
      </x:c>
      <x:c r="L48" s="28" t="n">
        <x:v>0</x:v>
      </x:c>
      <x:c r="M48" s="28" t="n">
        <x:v>0</x:v>
      </x:c>
      <x:c r="N48" s="28" t="n">
        <x:v>0</x:v>
      </x:c>
      <x:c r="O48" s="28" t="n">
        <x:v>0</x:v>
      </x:c>
    </x:row>
    <x:row r="49">
      <x:c r="A49" t="str">
        <x:v>A07</x:v>
      </x:c>
      <x:c r="B49" t="str">
        <x:v>F0702</x:v>
      </x:c>
      <x:c r="C49" t="str">
        <x:v>Tecnología de carnes, aves y pescado</x:v>
      </x:c>
      <x:c r="D49" s="28" t="n">
        <x:v>0.016666666666666666</x:v>
      </x:c>
      <x:c r="E49" s="28" t="n">
        <x:v>0.025</x:v>
      </x:c>
      <x:c r="F49" s="28" t="n">
        <x:v>0.025</x:v>
      </x:c>
      <x:c r="G49" s="28" t="n">
        <x:v>0.025</x:v>
      </x:c>
      <x:c r="H49" s="28" t="n">
        <x:v>0.06666666666666667</x:v>
      </x:c>
      <x:c r="I49" s="28" t="n">
        <x:v>0</x:v>
      </x:c>
      <x:c r="J49" s="28" t="n">
        <x:v>0.027777777777777776</x:v>
      </x:c>
      <x:c r="K49" s="28" t="n">
        <x:v>0</x:v>
      </x:c>
      <x:c r="L49" s="28" t="n">
        <x:v>0</x:v>
      </x:c>
      <x:c r="M49" s="28" t="n">
        <x:v>0</x:v>
      </x:c>
      <x:c r="N49" s="28" t="n">
        <x:v>0</x:v>
      </x:c>
      <x:c r="O49" s="28" t="n">
        <x:v>0</x:v>
      </x:c>
    </x:row>
    <x:row r="50">
      <x:c r="A50" t="str">
        <x:v>A07</x:v>
      </x:c>
      <x:c r="B50" t="str">
        <x:v>F0703</x:v>
      </x:c>
      <x:c r="C50" t="str">
        <x:v>Tecnología de cereales y derivados</x:v>
      </x:c>
      <x:c r="D50" s="28" t="n">
        <x:v>0.016666666666666666</x:v>
      </x:c>
      <x:c r="E50" s="28" t="n">
        <x:v>0.025</x:v>
      </x:c>
      <x:c r="F50" s="28" t="n">
        <x:v>0</x:v>
      </x:c>
      <x:c r="G50" s="28" t="n">
        <x:v>0</x:v>
      </x:c>
      <x:c r="H50" s="28" t="n">
        <x:v>0</x:v>
      </x:c>
      <x:c r="I50" s="28" t="n">
        <x:v>0</x:v>
      </x:c>
      <x:c r="J50" s="28" t="n">
        <x:v>0.027777777777777776</x:v>
      </x:c>
      <x:c r="K50" s="28" t="n">
        <x:v>0</x:v>
      </x:c>
      <x:c r="L50" s="28" t="n">
        <x:v>0</x:v>
      </x:c>
      <x:c r="M50" s="28" t="n">
        <x:v>0</x:v>
      </x:c>
      <x:c r="N50" s="28" t="n">
        <x:v>0</x:v>
      </x:c>
      <x:c r="O50" s="28" t="n">
        <x:v>0</x:v>
      </x:c>
    </x:row>
    <x:row r="51">
      <x:c r="A51" t="str">
        <x:v>A07</x:v>
      </x:c>
      <x:c r="B51" t="str">
        <x:v>F0704</x:v>
      </x:c>
      <x:c r="C51" t="str">
        <x:v>Tecnología de frutas, hortalizas y zumos</x:v>
      </x:c>
      <x:c r="D51" s="28" t="n">
        <x:v>0</x:v>
      </x:c>
      <x:c r="E51" s="28" t="n">
        <x:v>0</x:v>
      </x:c>
      <x:c r="F51" s="28" t="n">
        <x:v>0</x:v>
      </x:c>
      <x:c r="G51" s="28" t="n">
        <x:v>0</x:v>
      </x:c>
      <x:c r="H51" s="28" t="n">
        <x:v>0.06666666666666667</x:v>
      </x:c>
      <x:c r="I51" s="28" t="n">
        <x:v>0</x:v>
      </x:c>
      <x:c r="J51" s="28" t="n">
        <x:v>0.022222222222222223</x:v>
      </x:c>
      <x:c r="K51" s="28" t="n">
        <x:v>0</x:v>
      </x:c>
      <x:c r="L51" s="28" t="n">
        <x:v>0</x:v>
      </x:c>
      <x:c r="M51" s="28" t="n">
        <x:v>0</x:v>
      </x:c>
      <x:c r="N51" s="28" t="n">
        <x:v>0</x:v>
      </x:c>
      <x:c r="O51" s="28" t="n">
        <x:v>0</x:v>
      </x:c>
    </x:row>
    <x:row r="52">
      <x:c r="A52" t="str">
        <x:v>A07</x:v>
      </x:c>
      <x:c r="B52" t="str">
        <x:v>F0705</x:v>
      </x:c>
      <x:c r="C52" t="str">
        <x:v>Tecnología de aceites y grasas</x:v>
      </x:c>
      <x:c r="D52" s="28" t="n">
        <x:v>0</x:v>
      </x:c>
      <x:c r="E52" s="28" t="n">
        <x:v>0</x:v>
      </x:c>
      <x:c r="F52" s="28" t="n">
        <x:v>0</x:v>
      </x:c>
      <x:c r="G52" s="28" t="n">
        <x:v>0</x:v>
      </x:c>
      <x:c r="H52" s="28" t="n">
        <x:v>0.06666666666666667</x:v>
      </x:c>
      <x:c r="I52" s="28" t="n">
        <x:v>0</x:v>
      </x:c>
      <x:c r="J52" s="28" t="n">
        <x:v>0.027777777777777776</x:v>
      </x:c>
      <x:c r="K52" s="28" t="n">
        <x:v>0</x:v>
      </x:c>
      <x:c r="L52" s="28" t="n">
        <x:v>0</x:v>
      </x:c>
      <x:c r="M52" s="28" t="n">
        <x:v>0</x:v>
      </x:c>
      <x:c r="N52" s="28" t="n">
        <x:v>0</x:v>
      </x:c>
      <x:c r="O52" s="28" t="n">
        <x:v>0</x:v>
      </x:c>
    </x:row>
    <x:row r="53">
      <x:c r="A53" t="str">
        <x:v>A07</x:v>
      </x:c>
      <x:c r="B53" t="str">
        <x:v>F0706</x:v>
      </x:c>
      <x:c r="C53" t="str">
        <x:v>Tecnología de vino, cerveza y bebidas alcohólicas</x:v>
      </x:c>
      <x:c r="D53" s="28" t="n">
        <x:v>0.016666666666666666</x:v>
      </x:c>
      <x:c r="E53" s="28" t="n">
        <x:v>0.025</x:v>
      </x:c>
      <x:c r="F53" s="28" t="n">
        <x:v>0</x:v>
      </x:c>
      <x:c r="G53" s="28" t="n">
        <x:v>0</x:v>
      </x:c>
      <x:c r="H53" s="28" t="n">
        <x:v>0.03333333333333333</x:v>
      </x:c>
      <x:c r="I53" s="28" t="n">
        <x:v>0</x:v>
      </x:c>
      <x:c r="J53" s="28" t="n">
        <x:v>0.027777777777777776</x:v>
      </x:c>
      <x:c r="K53" s="28" t="n">
        <x:v>0.03333333333333333</x:v>
      </x:c>
      <x:c r="L53" s="28" t="n">
        <x:v>0</x:v>
      </x:c>
      <x:c r="M53" s="28" t="n">
        <x:v>0</x:v>
      </x:c>
      <x:c r="N53" s="28" t="n">
        <x:v>0</x:v>
      </x:c>
      <x:c r="O53" s="28" t="n">
        <x:v>0</x:v>
      </x:c>
    </x:row>
    <x:row r="54">
      <x:c r="A54" t="str">
        <x:v>A07</x:v>
      </x:c>
      <x:c r="B54" t="str">
        <x:v>F0707</x:v>
      </x:c>
      <x:c r="C54" t="str">
        <x:v>Fermentaciones y productos fermentados</x:v>
      </x:c>
      <x:c r="D54" s="28" t="n">
        <x:v>0</x:v>
      </x:c>
      <x:c r="E54" s="28" t="n">
        <x:v>0</x:v>
      </x:c>
      <x:c r="F54" s="28" t="n">
        <x:v>0.025</x:v>
      </x:c>
      <x:c r="G54" s="28" t="n">
        <x:v>0</x:v>
      </x:c>
      <x:c r="H54" s="28" t="n">
        <x:v>0</x:v>
      </x:c>
      <x:c r="I54" s="28" t="n">
        <x:v>0</x:v>
      </x:c>
      <x:c r="J54" s="28" t="n">
        <x:v>0</x:v>
      </x:c>
      <x:c r="K54" s="28" t="n">
        <x:v>0</x:v>
      </x:c>
      <x:c r="L54" s="28" t="n">
        <x:v>0</x:v>
      </x:c>
      <x:c r="M54" s="28" t="n">
        <x:v>0</x:v>
      </x:c>
      <x:c r="N54" s="28" t="n">
        <x:v>0</x:v>
      </x:c>
      <x:c r="O54" s="28" t="n">
        <x:v>0</x:v>
      </x:c>
    </x:row>
    <x:row r="55">
      <x:c r="A55" t="str">
        <x:v>A07</x:v>
      </x:c>
      <x:c r="B55" t="str">
        <x:v>F0708</x:v>
      </x:c>
      <x:c r="C55" t="str">
        <x:v>Tecnología de recursos marinos</x:v>
      </x:c>
      <x:c r="D55" s="28" t="n">
        <x:v>0</x:v>
      </x:c>
      <x:c r="E55" s="28" t="n">
        <x:v>0</x:v>
      </x:c>
      <x:c r="F55" s="28" t="n">
        <x:v>0</x:v>
      </x:c>
      <x:c r="G55" s="28" t="n">
        <x:v>0</x:v>
      </x:c>
      <x:c r="H55" s="28" t="n">
        <x:v>0</x:v>
      </x:c>
      <x:c r="I55" s="28" t="n">
        <x:v>0</x:v>
      </x:c>
      <x:c r="J55" s="28" t="n">
        <x:v>0</x:v>
      </x:c>
      <x:c r="K55" s="28" t="n">
        <x:v>0</x:v>
      </x:c>
      <x:c r="L55" s="28" t="n">
        <x:v>0</x:v>
      </x:c>
      <x:c r="M55" s="28" t="n">
        <x:v>0</x:v>
      </x:c>
      <x:c r="N55" s="28" t="n">
        <x:v>0</x:v>
      </x:c>
      <x:c r="O55" s="28" t="n">
        <x:v>0</x:v>
      </x:c>
    </x:row>
    <x:row r="56">
      <x:c r="A56" t="str">
        <x:v>A07</x:v>
      </x:c>
      <x:c r="B56" t="str">
        <x:v>F0709</x:v>
      </x:c>
      <x:c r="C56" t="str">
        <x:v>Alimentos alternativos y proteínas emergentes</x:v>
      </x:c>
      <x:c r="D56" s="28" t="n">
        <x:v>0</x:v>
      </x:c>
      <x:c r="E56" s="28" t="n">
        <x:v>0</x:v>
      </x:c>
      <x:c r="F56" s="28" t="n">
        <x:v>0</x:v>
      </x:c>
      <x:c r="G56" s="28" t="n">
        <x:v>0</x:v>
      </x:c>
      <x:c r="H56" s="28" t="n">
        <x:v>0</x:v>
      </x:c>
      <x:c r="I56" s="28" t="n">
        <x:v>0</x:v>
      </x:c>
      <x:c r="J56" s="28" t="n">
        <x:v>0</x:v>
      </x:c>
      <x:c r="K56" s="28" t="n">
        <x:v>0</x:v>
      </x:c>
      <x:c r="L56" s="28" t="n">
        <x:v>0</x:v>
      </x:c>
      <x:c r="M56" s="28" t="n">
        <x:v>0</x:v>
      </x:c>
      <x:c r="N56" s="28" t="n">
        <x:v>0</x:v>
      </x:c>
      <x:c r="O56" s="28" t="n">
        <x:v>0</x:v>
      </x:c>
    </x:row>
    <x:row r="57">
      <x:c r="A57" t="str">
        <x:v>A07</x:v>
      </x:c>
      <x:c r="B57" t="str">
        <x:v>F0710</x:v>
      </x:c>
      <x:c r="C57" t="str">
        <x:v>Otras industrias alimentarias y extractivas</x:v>
      </x:c>
      <x:c r="D57" s="28" t="n">
        <x:v>0</x:v>
      </x:c>
      <x:c r="E57" s="28" t="n">
        <x:v>0</x:v>
      </x:c>
      <x:c r="F57" s="28" t="n">
        <x:v>0</x:v>
      </x:c>
      <x:c r="G57" s="28" t="n">
        <x:v>0</x:v>
      </x:c>
      <x:c r="H57" s="28" t="n">
        <x:v>0</x:v>
      </x:c>
      <x:c r="I57" s="28" t="n">
        <x:v>0</x:v>
      </x:c>
      <x:c r="J57" s="28" t="n">
        <x:v>0</x:v>
      </x:c>
      <x:c r="K57" s="28" t="n">
        <x:v>0</x:v>
      </x:c>
      <x:c r="L57" s="28" t="n">
        <x:v>0</x:v>
      </x:c>
      <x:c r="M57" s="28" t="n">
        <x:v>0</x:v>
      </x:c>
      <x:c r="N57" s="28" t="n">
        <x:v>0</x:v>
      </x:c>
      <x:c r="O57" s="28" t="n">
        <x:v>0</x:v>
      </x:c>
    </x:row>
    <x:row r="58">
      <x:c r="A58" t="str">
        <x:v>A08</x:v>
      </x:c>
      <x:c r="B58" t="str">
        <x:v>F0801</x:v>
      </x:c>
      <x:c r="C58" t="str">
        <x:v>Análisis químico, físico e instrumental de alimentos</x:v>
      </x:c>
      <x:c r="D58" s="28" t="n">
        <x:v>0.025</x:v>
      </x:c>
      <x:c r="E58" s="28" t="n">
        <x:v>0</x:v>
      </x:c>
      <x:c r="F58" s="28" t="n">
        <x:v>0.025</x:v>
      </x:c>
      <x:c r="G58" s="28" t="n">
        <x:v>0</x:v>
      </x:c>
      <x:c r="H58" s="28" t="n">
        <x:v>0</x:v>
      </x:c>
      <x:c r="I58" s="28" t="n">
        <x:v>0</x:v>
      </x:c>
      <x:c r="J58" s="28" t="n">
        <x:v>0.027777777777777776</x:v>
      </x:c>
      <x:c r="K58" s="28" t="n">
        <x:v>0.03333333333333333</x:v>
      </x:c>
      <x:c r="L58" s="28" t="n">
        <x:v>0.03333333333333333</x:v>
      </x:c>
      <x:c r="M58" s="28" t="n">
        <x:v>0</x:v>
      </x:c>
      <x:c r="N58" s="28" t="n">
        <x:v>0</x:v>
      </x:c>
      <x:c r="O58" s="28" t="n">
        <x:v>0.027777777777777776</x:v>
      </x:c>
    </x:row>
    <x:row r="59">
      <x:c r="A59" t="str">
        <x:v>A08</x:v>
      </x:c>
      <x:c r="B59" t="str">
        <x:v>F0802</x:v>
      </x:c>
      <x:c r="C59" t="str">
        <x:v>Análisis sensorial y evaluación organoléptica</x:v>
      </x:c>
      <x:c r="D59" s="28" t="n">
        <x:v>0</x:v>
      </x:c>
      <x:c r="E59" s="28" t="n">
        <x:v>0.0125</x:v>
      </x:c>
      <x:c r="F59" s="28" t="n">
        <x:v>0</x:v>
      </x:c>
      <x:c r="G59" s="28" t="n">
        <x:v>0</x:v>
      </x:c>
      <x:c r="H59" s="28" t="n">
        <x:v>0.03333333333333333</x:v>
      </x:c>
      <x:c r="I59" s="28" t="n">
        <x:v>0</x:v>
      </x:c>
      <x:c r="J59" s="28" t="n">
        <x:v>0.027777777777777776</x:v>
      </x:c>
      <x:c r="K59" s="28" t="n">
        <x:v>0</x:v>
      </x:c>
      <x:c r="L59" s="28" t="n">
        <x:v>0</x:v>
      </x:c>
      <x:c r="M59" s="28" t="n">
        <x:v>0</x:v>
      </x:c>
      <x:c r="N59" s="28" t="n">
        <x:v>0</x:v>
      </x:c>
      <x:c r="O59" s="28" t="n">
        <x:v>0</x:v>
      </x:c>
    </x:row>
    <x:row r="60">
      <x:c r="A60" t="str">
        <x:v>A08</x:v>
      </x:c>
      <x:c r="B60" t="str">
        <x:v>F0803</x:v>
      </x:c>
      <x:c r="C60" t="str">
        <x:v>Gestión y aseguramiento de la calidad</x:v>
      </x:c>
      <x:c r="D60" s="28" t="n">
        <x:v>0.016666666666666666</x:v>
      </x:c>
      <x:c r="E60" s="28" t="n">
        <x:v>0.0125</x:v>
      </x:c>
      <x:c r="F60" s="28" t="n">
        <x:v>0.025</x:v>
      </x:c>
      <x:c r="G60" s="28" t="n">
        <x:v>0.025</x:v>
      </x:c>
      <x:c r="H60" s="28" t="n">
        <x:v>0.1</x:v>
      </x:c>
      <x:c r="I60" s="28" t="n">
        <x:v>0.03333333333333333</x:v>
      </x:c>
      <x:c r="J60" s="28" t="n">
        <x:v>0.044444444444444446</x:v>
      </x:c>
      <x:c r="K60" s="28" t="n">
        <x:v>0</x:v>
      </x:c>
      <x:c r="L60" s="28" t="n">
        <x:v>0.03888888888888889</x:v>
      </x:c>
      <x:c r="M60" s="28" t="n">
        <x:v>0</x:v>
      </x:c>
      <x:c r="N60" s="28" t="n">
        <x:v>0</x:v>
      </x:c>
      <x:c r="O60" s="28" t="n">
        <x:v>0</x:v>
      </x:c>
    </x:row>
    <x:row r="61">
      <x:c r="A61" t="str">
        <x:v>A08</x:v>
      </x:c>
      <x:c r="B61" t="str">
        <x:v>F0804</x:v>
      </x:c>
      <x:c r="C61" t="str">
        <x:v>Inocuidad y seguridad alimentaria / HACCP</x:v>
      </x:c>
      <x:c r="D61" s="28" t="n">
        <x:v>0</x:v>
      </x:c>
      <x:c r="E61" s="28" t="n">
        <x:v>0.0375</x:v>
      </x:c>
      <x:c r="F61" s="28" t="n">
        <x:v>0</x:v>
      </x:c>
      <x:c r="G61" s="28" t="n">
        <x:v>0</x:v>
      </x:c>
      <x:c r="H61" s="28" t="n">
        <x:v>0.06666666666666667</x:v>
      </x:c>
      <x:c r="I61" s="28" t="n">
        <x:v>0</x:v>
      </x:c>
      <x:c r="J61" s="28" t="n">
        <x:v>0</x:v>
      </x:c>
      <x:c r="K61" s="28" t="n">
        <x:v>0</x:v>
      </x:c>
      <x:c r="L61" s="28" t="n">
        <x:v>0</x:v>
      </x:c>
      <x:c r="M61" s="28" t="n">
        <x:v>0</x:v>
      </x:c>
      <x:c r="N61" s="28" t="n">
        <x:v>0</x:v>
      </x:c>
      <x:c r="O61" s="28" t="n">
        <x:v>0</x:v>
      </x:c>
    </x:row>
    <x:row r="62">
      <x:c r="A62" t="str">
        <x:v>A08</x:v>
      </x:c>
      <x:c r="B62" t="str">
        <x:v>F0805</x:v>
      </x:c>
      <x:c r="C62" t="str">
        <x:v>Higiene, saneamiento y diseño higiénico</x:v>
      </x:c>
      <x:c r="D62" s="28" t="n">
        <x:v>0</x:v>
      </x:c>
      <x:c r="E62" s="28" t="n">
        <x:v>0</x:v>
      </x:c>
      <x:c r="F62" s="28" t="n">
        <x:v>0</x:v>
      </x:c>
      <x:c r="G62" s="28" t="n">
        <x:v>0</x:v>
      </x:c>
      <x:c r="H62" s="28" t="n">
        <x:v>0</x:v>
      </x:c>
      <x:c r="I62" s="28" t="n">
        <x:v>0</x:v>
      </x:c>
      <x:c r="J62" s="28" t="n">
        <x:v>0</x:v>
      </x:c>
      <x:c r="K62" s="28" t="n">
        <x:v>0.03333333333333333</x:v>
      </x:c>
      <x:c r="L62" s="28" t="n">
        <x:v>0.05555555555555555</x:v>
      </x:c>
      <x:c r="M62" s="28" t="n">
        <x:v>0</x:v>
      </x:c>
      <x:c r="N62" s="28" t="n">
        <x:v>0</x:v>
      </x:c>
      <x:c r="O62" s="28" t="n">
        <x:v>0.03333333333333333</x:v>
      </x:c>
    </x:row>
    <x:row r="63">
      <x:c r="A63" t="str">
        <x:v>A08</x:v>
      </x:c>
      <x:c r="B63" t="str">
        <x:v>F0806</x:v>
      </x:c>
      <x:c r="C63" t="str">
        <x:v>Derecho, regulación y etiquetado alimentario</x:v>
      </x:c>
      <x:c r="D63" s="28" t="n">
        <x:v>0</x:v>
      </x:c>
      <x:c r="E63" s="28" t="n">
        <x:v>0</x:v>
      </x:c>
      <x:c r="F63" s="28" t="n">
        <x:v>0</x:v>
      </x:c>
      <x:c r="G63" s="28" t="n">
        <x:v>0</x:v>
      </x:c>
      <x:c r="H63" s="28" t="n">
        <x:v>0</x:v>
      </x:c>
      <x:c r="I63" s="28" t="n">
        <x:v>0</x:v>
      </x:c>
      <x:c r="J63" s="28" t="n">
        <x:v>0</x:v>
      </x:c>
      <x:c r="K63" s="28" t="n">
        <x:v>0.03333333333333333</x:v>
      </x:c>
      <x:c r="L63" s="28" t="n">
        <x:v>0</x:v>
      </x:c>
      <x:c r="M63" s="28" t="n">
        <x:v>0</x:v>
      </x:c>
      <x:c r="N63" s="28" t="n">
        <x:v>0</x:v>
      </x:c>
      <x:c r="O63" s="28" t="n">
        <x:v>0</x:v>
      </x:c>
    </x:row>
    <x:row r="64">
      <x:c r="A64" t="str">
        <x:v>A08</x:v>
      </x:c>
      <x:c r="B64" t="str">
        <x:v>F0807</x:v>
      </x:c>
      <x:c r="C64" t="str">
        <x:v>Trazabilidad, certificación y auditoría</x:v>
      </x:c>
      <x:c r="D64" s="28" t="n">
        <x:v>0</x:v>
      </x:c>
      <x:c r="E64" s="28" t="n">
        <x:v>0</x:v>
      </x:c>
      <x:c r="F64" s="28" t="n">
        <x:v>0</x:v>
      </x:c>
      <x:c r="G64" s="28" t="n">
        <x:v>0</x:v>
      </x:c>
      <x:c r="H64" s="28" t="n">
        <x:v>0</x:v>
      </x:c>
      <x:c r="I64" s="28" t="n">
        <x:v>0</x:v>
      </x:c>
      <x:c r="J64" s="28" t="n">
        <x:v>0</x:v>
      </x:c>
      <x:c r="K64" s="28" t="n">
        <x:v>0</x:v>
      </x:c>
      <x:c r="L64" s="28" t="n">
        <x:v>0</x:v>
      </x:c>
      <x:c r="M64" s="28" t="n">
        <x:v>0</x:v>
      </x:c>
      <x:c r="N64" s="28" t="n">
        <x:v>0</x:v>
      </x:c>
      <x:c r="O64" s="28" t="n">
        <x:v>0</x:v>
      </x:c>
    </x:row>
    <x:row r="65">
      <x:c r="A65" t="str">
        <x:v>A09</x:v>
      </x:c>
      <x:c r="B65" t="str">
        <x:v>F0901</x:v>
      </x:c>
      <x:c r="C65" t="str">
        <x:v>Diseño de plantas e industrias alimentarias</x:v>
      </x:c>
      <x:c r="D65" s="28" t="n">
        <x:v>0</x:v>
      </x:c>
      <x:c r="E65" s="28" t="n">
        <x:v>0</x:v>
      </x:c>
      <x:c r="F65" s="28" t="n">
        <x:v>0.025</x:v>
      </x:c>
      <x:c r="G65" s="28" t="n">
        <x:v>0.025</x:v>
      </x:c>
      <x:c r="H65" s="28" t="n">
        <x:v>0</x:v>
      </x:c>
      <x:c r="I65" s="28" t="n">
        <x:v>0.03333333333333333</x:v>
      </x:c>
      <x:c r="J65" s="28" t="n">
        <x:v>0</x:v>
      </x:c>
      <x:c r="K65" s="28" t="n">
        <x:v>0</x:v>
      </x:c>
      <x:c r="L65" s="28" t="n">
        <x:v>0</x:v>
      </x:c>
      <x:c r="M65" s="28" t="n">
        <x:v>0.05</x:v>
      </x:c>
      <x:c r="N65" s="28" t="n">
        <x:v>0</x:v>
      </x:c>
      <x:c r="O65" s="28" t="n">
        <x:v>0</x:v>
      </x:c>
    </x:row>
    <x:row r="66">
      <x:c r="A66" t="str">
        <x:v>A09</x:v>
      </x:c>
      <x:c r="B66" t="str">
        <x:v>F0902</x:v>
      </x:c>
      <x:c r="C66" t="str">
        <x:v>Maquinaria y equipos de proceso</x:v>
      </x:c>
      <x:c r="D66" s="28" t="n">
        <x:v>0</x:v>
      </x:c>
      <x:c r="E66" s="28" t="n">
        <x:v>0</x:v>
      </x:c>
      <x:c r="F66" s="28" t="n">
        <x:v>0</x:v>
      </x:c>
      <x:c r="G66" s="28" t="n">
        <x:v>0</x:v>
      </x:c>
      <x:c r="H66" s="28" t="n">
        <x:v>0</x:v>
      </x:c>
      <x:c r="I66" s="28" t="n">
        <x:v>0</x:v>
      </x:c>
      <x:c r="J66" s="28" t="n">
        <x:v>0.022222222222222223</x:v>
      </x:c>
      <x:c r="K66" s="28" t="n">
        <x:v>0</x:v>
      </x:c>
      <x:c r="L66" s="28" t="n">
        <x:v>0.03888888888888889</x:v>
      </x:c>
      <x:c r="M66" s="28" t="n">
        <x:v>0</x:v>
      </x:c>
      <x:c r="N66" s="28" t="n">
        <x:v>0</x:v>
      </x:c>
      <x:c r="O66" s="28" t="n">
        <x:v>0</x:v>
      </x:c>
    </x:row>
    <x:row r="67">
      <x:c r="A67" t="str">
        <x:v>A09</x:v>
      </x:c>
      <x:c r="B67" t="str">
        <x:v>F0903</x:v>
      </x:c>
      <x:c r="C67" t="str">
        <x:v>Instalaciones y servicios auxiliares</x:v>
      </x:c>
      <x:c r="D67" s="28" t="n">
        <x:v>0</x:v>
      </x:c>
      <x:c r="E67" s="28" t="n">
        <x:v>0.025</x:v>
      </x:c>
      <x:c r="F67" s="28" t="n">
        <x:v>0</x:v>
      </x:c>
      <x:c r="G67" s="28" t="n">
        <x:v>0.025</x:v>
      </x:c>
      <x:c r="H67" s="28" t="n">
        <x:v>0</x:v>
      </x:c>
      <x:c r="I67" s="28" t="n">
        <x:v>0</x:v>
      </x:c>
      <x:c r="J67" s="28" t="n">
        <x:v>0</x:v>
      </x:c>
      <x:c r="K67" s="28" t="n">
        <x:v>0.03333333333333333</x:v>
      </x:c>
      <x:c r="L67" s="28" t="n">
        <x:v>0</x:v>
      </x:c>
      <x:c r="M67" s="28" t="n">
        <x:v>0.03333333333333333</x:v>
      </x:c>
      <x:c r="N67" s="28" t="n">
        <x:v>0</x:v>
      </x:c>
      <x:c r="O67" s="28" t="n">
        <x:v>0</x:v>
      </x:c>
    </x:row>
    <x:row r="68">
      <x:c r="A68" t="str">
        <x:v>A09</x:v>
      </x:c>
      <x:c r="B68" t="str">
        <x:v>F0904</x:v>
      </x:c>
      <x:c r="C68" t="str">
        <x:v>Construcciones agroindustriales</x:v>
      </x:c>
      <x:c r="D68" s="28" t="n">
        <x:v>0</x:v>
      </x:c>
      <x:c r="E68" s="28" t="n">
        <x:v>0.025</x:v>
      </x:c>
      <x:c r="F68" s="28" t="n">
        <x:v>0</x:v>
      </x:c>
      <x:c r="G68" s="28" t="n">
        <x:v>0.025</x:v>
      </x:c>
      <x:c r="H68" s="28" t="n">
        <x:v>0</x:v>
      </x:c>
      <x:c r="I68" s="28" t="n">
        <x:v>0</x:v>
      </x:c>
      <x:c r="J68" s="28" t="n">
        <x:v>0</x:v>
      </x:c>
      <x:c r="K68" s="28" t="n">
        <x:v>0</x:v>
      </x:c>
      <x:c r="L68" s="28" t="n">
        <x:v>0</x:v>
      </x:c>
      <x:c r="M68" s="28" t="n">
        <x:v>0</x:v>
      </x:c>
      <x:c r="N68" s="28" t="n">
        <x:v>0</x:v>
      </x:c>
      <x:c r="O68" s="28" t="n">
        <x:v>0</x:v>
      </x:c>
    </x:row>
    <x:row r="69">
      <x:c r="A69" t="str">
        <x:v>A09</x:v>
      </x:c>
      <x:c r="B69" t="str">
        <x:v>F0905</x:v>
      </x:c>
      <x:c r="C69" t="str">
        <x:v>Automatización, control e instrumentación</x:v>
      </x:c>
      <x:c r="D69" s="28" t="n">
        <x:v>0.016666666666666666</x:v>
      </x:c>
      <x:c r="E69" s="28" t="n">
        <x:v>0.025</x:v>
      </x:c>
      <x:c r="F69" s="28" t="n">
        <x:v>0</x:v>
      </x:c>
      <x:c r="G69" s="28" t="n">
        <x:v>0</x:v>
      </x:c>
      <x:c r="H69" s="28" t="n">
        <x:v>0</x:v>
      </x:c>
      <x:c r="I69" s="28" t="n">
        <x:v>0</x:v>
      </x:c>
      <x:c r="J69" s="28" t="n">
        <x:v>0</x:v>
      </x:c>
      <x:c r="K69" s="28" t="n">
        <x:v>0</x:v>
      </x:c>
      <x:c r="L69" s="28" t="n">
        <x:v>0</x:v>
      </x:c>
      <x:c r="M69" s="28" t="n">
        <x:v>0.03333333333333333</x:v>
      </x:c>
      <x:c r="N69" s="28" t="n">
        <x:v>0</x:v>
      </x:c>
      <x:c r="O69" s="28" t="n">
        <x:v>0</x:v>
      </x:c>
    </x:row>
    <x:row r="70">
      <x:c r="A70" t="str">
        <x:v>A09</x:v>
      </x:c>
      <x:c r="B70" t="str">
        <x:v>F0906</x:v>
      </x:c>
      <x:c r="C70" t="str">
        <x:v>Robótica, digitalización e Industria 4.0</x:v>
      </x:c>
      <x:c r="D70" s="28" t="n">
        <x:v>0</x:v>
      </x:c>
      <x:c r="E70" s="28" t="n">
        <x:v>0</x:v>
      </x:c>
      <x:c r="F70" s="28" t="n">
        <x:v>0</x:v>
      </x:c>
      <x:c r="G70" s="28" t="n">
        <x:v>0</x:v>
      </x:c>
      <x:c r="H70" s="28" t="n">
        <x:v>0</x:v>
      </x:c>
      <x:c r="I70" s="28" t="n">
        <x:v>0.03333333333333333</x:v>
      </x:c>
      <x:c r="J70" s="28" t="n">
        <x:v>0</x:v>
      </x:c>
      <x:c r="K70" s="28" t="n">
        <x:v>0</x:v>
      </x:c>
      <x:c r="L70" s="28" t="n">
        <x:v>0</x:v>
      </x:c>
      <x:c r="M70" s="28" t="n">
        <x:v>0</x:v>
      </x:c>
      <x:c r="N70" s="28" t="n">
        <x:v>0</x:v>
      </x:c>
      <x:c r="O70" s="28" t="n">
        <x:v>0</x:v>
      </x:c>
    </x:row>
    <x:row r="71">
      <x:c r="A71" t="str">
        <x:v>A09</x:v>
      </x:c>
      <x:c r="B71" t="str">
        <x:v>F0907</x:v>
      </x:c>
      <x:c r="C71" t="str">
        <x:v>Envases, materiales y packaging</x:v>
      </x:c>
      <x:c r="D71" s="28" t="n">
        <x:v>0</x:v>
      </x:c>
      <x:c r="E71" s="28" t="n">
        <x:v>0</x:v>
      </x:c>
      <x:c r="F71" s="28" t="n">
        <x:v>0</x:v>
      </x:c>
      <x:c r="G71" s="28" t="n">
        <x:v>0</x:v>
      </x:c>
      <x:c r="H71" s="28" t="n">
        <x:v>0</x:v>
      </x:c>
      <x:c r="I71" s="28" t="n">
        <x:v>0.03333333333333333</x:v>
      </x:c>
      <x:c r="J71" s="28" t="n">
        <x:v>0</x:v>
      </x:c>
      <x:c r="K71" s="28" t="n">
        <x:v>0</x:v>
      </x:c>
      <x:c r="L71" s="28" t="n">
        <x:v>0</x:v>
      </x:c>
      <x:c r="M71" s="28" t="n">
        <x:v>0</x:v>
      </x:c>
      <x:c r="N71" s="28" t="n">
        <x:v>0</x:v>
      </x:c>
      <x:c r="O71" s="28" t="n">
        <x:v>0.027777777777777776</x:v>
      </x:c>
    </x:row>
    <x:row r="72">
      <x:c r="A72" t="str">
        <x:v>A09</x:v>
      </x:c>
      <x:c r="B72" t="str">
        <x:v>F0908</x:v>
      </x:c>
      <x:c r="C72" t="str">
        <x:v>Sistemas energéticos y utilidades térmicas</x:v>
      </x:c>
      <x:c r="D72" s="28" t="n">
        <x:v>0</x:v>
      </x:c>
      <x:c r="E72" s="28" t="n">
        <x:v>0.025</x:v>
      </x:c>
      <x:c r="F72" s="28" t="n">
        <x:v>0.025</x:v>
      </x:c>
      <x:c r="G72" s="28" t="n">
        <x:v>0.025</x:v>
      </x:c>
      <x:c r="H72" s="28" t="n">
        <x:v>0</x:v>
      </x:c>
      <x:c r="I72" s="28" t="n">
        <x:v>0</x:v>
      </x:c>
      <x:c r="J72" s="28" t="n">
        <x:v>0</x:v>
      </x:c>
      <x:c r="K72" s="28" t="n">
        <x:v>0</x:v>
      </x:c>
      <x:c r="L72" s="28" t="n">
        <x:v>0</x:v>
      </x:c>
      <x:c r="M72" s="28" t="n">
        <x:v>0.05</x:v>
      </x:c>
      <x:c r="N72" s="28" t="n">
        <x:v>0</x:v>
      </x:c>
      <x:c r="O72" s="28" t="n">
        <x:v>0</x:v>
      </x:c>
    </x:row>
    <x:row r="73">
      <x:c r="A73" t="str">
        <x:v>A10</x:v>
      </x:c>
      <x:c r="B73" t="str">
        <x:v>F1001</x:v>
      </x:c>
      <x:c r="C73" t="str">
        <x:v>Producción vegetal y fitotecnia</x:v>
      </x:c>
      <x:c r="D73" s="28" t="n">
        <x:v>0</x:v>
      </x:c>
      <x:c r="E73" s="28" t="n">
        <x:v>0.05</x:v>
      </x:c>
      <x:c r="F73" s="28" t="n">
        <x:v>0.025</x:v>
      </x:c>
      <x:c r="G73" s="28" t="n">
        <x:v>0.0375</x:v>
      </x:c>
      <x:c r="H73" s="28" t="n">
        <x:v>0</x:v>
      </x:c>
      <x:c r="I73" s="28" t="n">
        <x:v>0.03333333333333333</x:v>
      </x:c>
      <x:c r="J73" s="28" t="n">
        <x:v>0.027777777777777776</x:v>
      </x:c>
      <x:c r="K73" s="28" t="n">
        <x:v>0.08333333333333333</x:v>
      </x:c>
      <x:c r="L73" s="28" t="n">
        <x:v>0.1111111111111111</x:v>
      </x:c>
      <x:c r="M73" s="28" t="n">
        <x:v>0</x:v>
      </x:c>
      <x:c r="N73" s="28" t="n">
        <x:v>0</x:v>
      </x:c>
      <x:c r="O73" s="28" t="n">
        <x:v>0</x:v>
      </x:c>
    </x:row>
    <x:row r="74">
      <x:c r="A74" t="str">
        <x:v>A10</x:v>
      </x:c>
      <x:c r="B74" t="str">
        <x:v>F1002</x:v>
      </x:c>
      <x:c r="C74" t="str">
        <x:v>Producción animal y zootecnia</x:v>
      </x:c>
      <x:c r="D74" s="28" t="n">
        <x:v>0</x:v>
      </x:c>
      <x:c r="E74" s="28" t="n">
        <x:v>0.025</x:v>
      </x:c>
      <x:c r="F74" s="28" t="n">
        <x:v>0.025</x:v>
      </x:c>
      <x:c r="G74" s="28" t="n">
        <x:v>0.025</x:v>
      </x:c>
      <x:c r="H74" s="28" t="n">
        <x:v>0</x:v>
      </x:c>
      <x:c r="I74" s="28" t="n">
        <x:v>0</x:v>
      </x:c>
      <x:c r="J74" s="28" t="n">
        <x:v>0.027777777777777776</x:v>
      </x:c>
      <x:c r="K74" s="28" t="n">
        <x:v>0.05</x:v>
      </x:c>
      <x:c r="L74" s="28" t="n">
        <x:v>0.044444444444444446</x:v>
      </x:c>
      <x:c r="M74" s="28" t="n">
        <x:v>0</x:v>
      </x:c>
      <x:c r="N74" s="28" t="n">
        <x:v>0</x:v>
      </x:c>
      <x:c r="O74" s="28" t="n">
        <x:v>0</x:v>
      </x:c>
    </x:row>
    <x:row r="75">
      <x:c r="A75" t="str">
        <x:v>A10</x:v>
      </x:c>
      <x:c r="B75" t="str">
        <x:v>F1003</x:v>
      </x:c>
      <x:c r="C75" t="str">
        <x:v>Materias primas agroalimentarias y aprovisionamiento</x:v>
      </x:c>
      <x:c r="D75" s="28" t="n">
        <x:v>0.05</x:v>
      </x:c>
      <x:c r="E75" s="28" t="n">
        <x:v>0</x:v>
      </x:c>
      <x:c r="F75" s="28" t="n">
        <x:v>0</x:v>
      </x:c>
      <x:c r="G75" s="28" t="n">
        <x:v>0.016666666666666666</x:v>
      </x:c>
      <x:c r="H75" s="28" t="n">
        <x:v>0</x:v>
      </x:c>
      <x:c r="I75" s="28" t="n">
        <x:v>0</x:v>
      </x:c>
      <x:c r="J75" s="28" t="n">
        <x:v>0</x:v>
      </x:c>
      <x:c r="K75" s="28" t="n">
        <x:v>0</x:v>
      </x:c>
      <x:c r="L75" s="28" t="n">
        <x:v>0</x:v>
      </x:c>
      <x:c r="M75" s="28" t="n">
        <x:v>0</x:v>
      </x:c>
      <x:c r="N75" s="28" t="n">
        <x:v>0</x:v>
      </x:c>
      <x:c r="O75" s="28" t="n">
        <x:v>0</x:v>
      </x:c>
    </x:row>
    <x:row r="76">
      <x:c r="A76" t="str">
        <x:v>A10</x:v>
      </x:c>
      <x:c r="B76" t="str">
        <x:v>F1004</x:v>
      </x:c>
      <x:c r="C76" t="str">
        <x:v>Poscosecha y conservación de materia prima</x:v>
      </x:c>
      <x:c r="D76" s="28" t="n">
        <x:v>0</x:v>
      </x:c>
      <x:c r="E76" s="28" t="n">
        <x:v>0</x:v>
      </x:c>
      <x:c r="F76" s="28" t="n">
        <x:v>0</x:v>
      </x:c>
      <x:c r="G76" s="28" t="n">
        <x:v>0</x:v>
      </x:c>
      <x:c r="H76" s="28" t="n">
        <x:v>0</x:v>
      </x:c>
      <x:c r="I76" s="28" t="n">
        <x:v>0</x:v>
      </x:c>
      <x:c r="J76" s="28" t="n">
        <x:v>0</x:v>
      </x:c>
      <x:c r="K76" s="28" t="n">
        <x:v>0</x:v>
      </x:c>
      <x:c r="L76" s="28" t="n">
        <x:v>0</x:v>
      </x:c>
      <x:c r="M76" s="28" t="n">
        <x:v>0</x:v>
      </x:c>
      <x:c r="N76" s="28" t="n">
        <x:v>0</x:v>
      </x:c>
      <x:c r="O76" s="28" t="n">
        <x:v>0</x:v>
      </x:c>
    </x:row>
    <x:row r="77">
      <x:c r="A77" t="str">
        <x:v>A10</x:v>
      </x:c>
      <x:c r="B77" t="str">
        <x:v>F1005</x:v>
      </x:c>
      <x:c r="C77" t="str">
        <x:v>Edafología, geología y climatología</x:v>
      </x:c>
      <x:c r="D77" s="28" t="n">
        <x:v>0.025</x:v>
      </x:c>
      <x:c r="E77" s="28" t="n">
        <x:v>0.025</x:v>
      </x:c>
      <x:c r="F77" s="28" t="n">
        <x:v>0.025</x:v>
      </x:c>
      <x:c r="G77" s="28" t="n">
        <x:v>0.04375</x:v>
      </x:c>
      <x:c r="H77" s="28" t="n">
        <x:v>0</x:v>
      </x:c>
      <x:c r="I77" s="28" t="n">
        <x:v>0</x:v>
      </x:c>
      <x:c r="J77" s="28" t="n">
        <x:v>0</x:v>
      </x:c>
      <x:c r="K77" s="28" t="n">
        <x:v>0</x:v>
      </x:c>
      <x:c r="L77" s="28" t="n">
        <x:v>0</x:v>
      </x:c>
      <x:c r="M77" s="28" t="n">
        <x:v>0</x:v>
      </x:c>
      <x:c r="N77" s="28" t="n">
        <x:v>0</x:v>
      </x:c>
      <x:c r="O77" s="28" t="n">
        <x:v>0</x:v>
      </x:c>
    </x:row>
    <x:row r="78">
      <x:c r="A78" t="str">
        <x:v>A10</x:v>
      </x:c>
      <x:c r="B78" t="str">
        <x:v>F1006</x:v>
      </x:c>
      <x:c r="C78" t="str">
        <x:v>Geomática, topografía y cartografía</x:v>
      </x:c>
      <x:c r="D78" s="28" t="n">
        <x:v>0.020833333333333332</x:v>
      </x:c>
      <x:c r="E78" s="28" t="n">
        <x:v>0.025</x:v>
      </x:c>
      <x:c r="F78" s="28" t="n">
        <x:v>0.025</x:v>
      </x:c>
      <x:c r="G78" s="28" t="n">
        <x:v>0.05</x:v>
      </x:c>
      <x:c r="H78" s="28" t="n">
        <x:v>0</x:v>
      </x:c>
      <x:c r="I78" s="28" t="n">
        <x:v>0</x:v>
      </x:c>
      <x:c r="J78" s="28" t="n">
        <x:v>0</x:v>
      </x:c>
      <x:c r="K78" s="28" t="n">
        <x:v>0</x:v>
      </x:c>
      <x:c r="L78" s="28" t="n">
        <x:v>0</x:v>
      </x:c>
      <x:c r="M78" s="28" t="n">
        <x:v>0</x:v>
      </x:c>
      <x:c r="N78" s="28" t="n">
        <x:v>0</x:v>
      </x:c>
      <x:c r="O78" s="28" t="n">
        <x:v>0</x:v>
      </x:c>
    </x:row>
    <x:row r="79">
      <x:c r="A79" t="str">
        <x:v>A10</x:v>
      </x:c>
      <x:c r="B79" t="str">
        <x:v>F1007</x:v>
      </x:c>
      <x:c r="C79" t="str">
        <x:v>Riego, drenaje y mecanización agrícola</x:v>
      </x:c>
      <x:c r="D79" s="28" t="n">
        <x:v>0</x:v>
      </x:c>
      <x:c r="E79" s="28" t="n">
        <x:v>0</x:v>
      </x:c>
      <x:c r="F79" s="28" t="n">
        <x:v>0</x:v>
      </x:c>
      <x:c r="G79" s="28" t="n">
        <x:v>0.01875</x:v>
      </x:c>
      <x:c r="H79" s="28" t="n">
        <x:v>0</x:v>
      </x:c>
      <x:c r="I79" s="28" t="n">
        <x:v>0</x:v>
      </x:c>
      <x:c r="J79" s="28" t="n">
        <x:v>0</x:v>
      </x:c>
      <x:c r="K79" s="28" t="n">
        <x:v>0</x:v>
      </x:c>
      <x:c r="L79" s="28" t="n">
        <x:v>0</x:v>
      </x:c>
      <x:c r="M79" s="28" t="n">
        <x:v>0</x:v>
      </x:c>
      <x:c r="N79" s="28" t="n">
        <x:v>0</x:v>
      </x:c>
      <x:c r="O79" s="28" t="n">
        <x:v>0</x:v>
      </x:c>
    </x:row>
    <x:row r="80">
      <x:c r="A80" t="str">
        <x:v>A11</x:v>
      </x:c>
      <x:c r="B80" t="str">
        <x:v>F1101</x:v>
      </x:c>
      <x:c r="C80" t="str">
        <x:v>Ecología e impacto ambiental</x:v>
      </x:c>
      <x:c r="D80" s="28" t="n">
        <x:v>0.016666666666666666</x:v>
      </x:c>
      <x:c r="E80" s="28" t="n">
        <x:v>0.025</x:v>
      </x:c>
      <x:c r="F80" s="28" t="n">
        <x:v>0.025</x:v>
      </x:c>
      <x:c r="G80" s="28" t="n">
        <x:v>0.025</x:v>
      </x:c>
      <x:c r="H80" s="28" t="n">
        <x:v>0</x:v>
      </x:c>
      <x:c r="I80" s="28" t="n">
        <x:v>0</x:v>
      </x:c>
      <x:c r="J80" s="28" t="n">
        <x:v>0</x:v>
      </x:c>
      <x:c r="K80" s="28" t="n">
        <x:v>0</x:v>
      </x:c>
      <x:c r="L80" s="28" t="n">
        <x:v>0</x:v>
      </x:c>
      <x:c r="M80" s="28" t="n">
        <x:v>0</x:v>
      </x:c>
      <x:c r="N80" s="28" t="n">
        <x:v>0</x:v>
      </x:c>
      <x:c r="O80" s="28" t="n">
        <x:v>0</x:v>
      </x:c>
    </x:row>
    <x:row r="81">
      <x:c r="A81" t="str">
        <x:v>A11</x:v>
      </x:c>
      <x:c r="B81" t="str">
        <x:v>F1102</x:v>
      </x:c>
      <x:c r="C81" t="str">
        <x:v>Análisis de ciclo de vida y ecodiseño</x:v>
      </x:c>
      <x:c r="D81" s="28" t="n">
        <x:v>0</x:v>
      </x:c>
      <x:c r="E81" s="28" t="n">
        <x:v>0</x:v>
      </x:c>
      <x:c r="F81" s="28" t="n">
        <x:v>0</x:v>
      </x:c>
      <x:c r="G81" s="28" t="n">
        <x:v>0</x:v>
      </x:c>
      <x:c r="H81" s="28" t="n">
        <x:v>0</x:v>
      </x:c>
      <x:c r="I81" s="28" t="n">
        <x:v>0</x:v>
      </x:c>
      <x:c r="J81" s="28" t="n">
        <x:v>0</x:v>
      </x:c>
      <x:c r="K81" s="28" t="n">
        <x:v>0</x:v>
      </x:c>
      <x:c r="L81" s="28" t="n">
        <x:v>0</x:v>
      </x:c>
      <x:c r="M81" s="28" t="n">
        <x:v>0</x:v>
      </x:c>
      <x:c r="N81" s="28" t="n">
        <x:v>0</x:v>
      </x:c>
      <x:c r="O81" s="28" t="n">
        <x:v>0</x:v>
      </x:c>
    </x:row>
    <x:row r="82">
      <x:c r="A82" t="str">
        <x:v>A11</x:v>
      </x:c>
      <x:c r="B82" t="str">
        <x:v>F1103</x:v>
      </x:c>
      <x:c r="C82" t="str">
        <x:v>Residuos, subproductos y valorización</x:v>
      </x:c>
      <x:c r="D82" s="28" t="n">
        <x:v>0.03333333333333333</x:v>
      </x:c>
      <x:c r="E82" s="28" t="n">
        <x:v>0.025</x:v>
      </x:c>
      <x:c r="F82" s="28" t="n">
        <x:v>0</x:v>
      </x:c>
      <x:c r="G82" s="28" t="n">
        <x:v>0.025</x:v>
      </x:c>
      <x:c r="H82" s="28" t="n">
        <x:v>0</x:v>
      </x:c>
      <x:c r="I82" s="28" t="n">
        <x:v>0</x:v>
      </x:c>
      <x:c r="J82" s="28" t="n">
        <x:v>0</x:v>
      </x:c>
      <x:c r="K82" s="28" t="n">
        <x:v>0</x:v>
      </x:c>
      <x:c r="L82" s="28" t="n">
        <x:v>0</x:v>
      </x:c>
      <x:c r="M82" s="28" t="n">
        <x:v>0</x:v>
      </x:c>
      <x:c r="N82" s="28" t="n">
        <x:v>0</x:v>
      </x:c>
      <x:c r="O82" s="28" t="n">
        <x:v>0</x:v>
      </x:c>
    </x:row>
    <x:row r="83">
      <x:c r="A83" t="str">
        <x:v>A11</x:v>
      </x:c>
      <x:c r="B83" t="str">
        <x:v>F1104</x:v>
      </x:c>
      <x:c r="C83" t="str">
        <x:v>Tratamiento de aguas y efluentes</x:v>
      </x:c>
      <x:c r="D83" s="28" t="n">
        <x:v>0</x:v>
      </x:c>
      <x:c r="E83" s="28" t="n">
        <x:v>0</x:v>
      </x:c>
      <x:c r="F83" s="28" t="n">
        <x:v>0</x:v>
      </x:c>
      <x:c r="G83" s="28" t="n">
        <x:v>0</x:v>
      </x:c>
      <x:c r="H83" s="28" t="n">
        <x:v>0.03333333333333333</x:v>
      </x:c>
      <x:c r="I83" s="28" t="n">
        <x:v>0.03333333333333333</x:v>
      </x:c>
      <x:c r="J83" s="28" t="n">
        <x:v>0</x:v>
      </x:c>
      <x:c r="K83" s="28" t="n">
        <x:v>0</x:v>
      </x:c>
      <x:c r="L83" s="28" t="n">
        <x:v>0</x:v>
      </x:c>
      <x:c r="M83" s="28" t="n">
        <x:v>0</x:v>
      </x:c>
      <x:c r="N83" s="28" t="n">
        <x:v>0</x:v>
      </x:c>
      <x:c r="O83" s="28" t="n">
        <x:v>0</x:v>
      </x:c>
    </x:row>
    <x:row r="84">
      <x:c r="A84" t="str">
        <x:v>A11</x:v>
      </x:c>
      <x:c r="B84" t="str">
        <x:v>F1105</x:v>
      </x:c>
      <x:c r="C84" t="str">
        <x:v>Sostenibilidad y economía circular</x:v>
      </x:c>
      <x:c r="D84" s="28" t="n">
        <x:v>0</x:v>
      </x:c>
      <x:c r="E84" s="28" t="n">
        <x:v>0</x:v>
      </x:c>
      <x:c r="F84" s="28" t="n">
        <x:v>0</x:v>
      </x:c>
      <x:c r="G84" s="28" t="n">
        <x:v>0</x:v>
      </x:c>
      <x:c r="H84" s="28" t="n">
        <x:v>0</x:v>
      </x:c>
      <x:c r="I84" s="28" t="n">
        <x:v>0</x:v>
      </x:c>
      <x:c r="J84" s="28" t="n">
        <x:v>0</x:v>
      </x:c>
      <x:c r="K84" s="28" t="n">
        <x:v>0</x:v>
      </x:c>
      <x:c r="L84" s="28" t="n">
        <x:v>0</x:v>
      </x:c>
      <x:c r="M84" s="28" t="n">
        <x:v>0</x:v>
      </x:c>
      <x:c r="N84" s="28" t="n">
        <x:v>0</x:v>
      </x:c>
      <x:c r="O84" s="28" t="n">
        <x:v>0</x:v>
      </x:c>
    </x:row>
    <x:row r="85">
      <x:c r="A85" t="str">
        <x:v>A11</x:v>
      </x:c>
      <x:c r="B85" t="str">
        <x:v>F1106</x:v>
      </x:c>
      <x:c r="C85" t="str">
        <x:v>Bioenergía, biomasa y energía ambiental</x:v>
      </x:c>
      <x:c r="D85" s="28" t="n">
        <x:v>0</x:v>
      </x:c>
      <x:c r="E85" s="28" t="n">
        <x:v>0</x:v>
      </x:c>
      <x:c r="F85" s="28" t="n">
        <x:v>0</x:v>
      </x:c>
      <x:c r="G85" s="28" t="n">
        <x:v>0</x:v>
      </x:c>
      <x:c r="H85" s="28" t="n">
        <x:v>0</x:v>
      </x:c>
      <x:c r="I85" s="28" t="n">
        <x:v>0</x:v>
      </x:c>
      <x:c r="J85" s="28" t="n">
        <x:v>0</x:v>
      </x:c>
      <x:c r="K85" s="28" t="n">
        <x:v>0</x:v>
      </x:c>
      <x:c r="L85" s="28" t="n">
        <x:v>0</x:v>
      </x:c>
      <x:c r="M85" s="28" t="n">
        <x:v>0</x:v>
      </x:c>
      <x:c r="N85" s="28" t="n">
        <x:v>0</x:v>
      </x:c>
      <x:c r="O85" s="28" t="n">
        <x:v>0</x:v>
      </x:c>
    </x:row>
    <x:row r="86">
      <x:c r="A86" t="str">
        <x:v>A12</x:v>
      </x:c>
      <x:c r="B86" t="str">
        <x:v>F1201</x:v>
      </x:c>
      <x:c r="C86" t="str">
        <x:v>Economía y sistemas agroalimentarios</x:v>
      </x:c>
      <x:c r="D86" s="28" t="n">
        <x:v>0.016666666666666666</x:v>
      </x:c>
      <x:c r="E86" s="28" t="n">
        <x:v>0</x:v>
      </x:c>
      <x:c r="F86" s="28" t="n">
        <x:v>0.025</x:v>
      </x:c>
      <x:c r="G86" s="28" t="n">
        <x:v>0.04583333333333333</x:v>
      </x:c>
      <x:c r="H86" s="28" t="n">
        <x:v>0</x:v>
      </x:c>
      <x:c r="I86" s="28" t="n">
        <x:v>0.06666666666666667</x:v>
      </x:c>
      <x:c r="J86" s="28" t="n">
        <x:v>0</x:v>
      </x:c>
      <x:c r="K86" s="28" t="n">
        <x:v>0.03333333333333333</x:v>
      </x:c>
      <x:c r="L86" s="28" t="n">
        <x:v>0.044444444444444446</x:v>
      </x:c>
      <x:c r="M86" s="28" t="n">
        <x:v>0</x:v>
      </x:c>
      <x:c r="N86" s="28" t="n">
        <x:v>0</x:v>
      </x:c>
      <x:c r="O86" s="28" t="n">
        <x:v>0.027777777777777776</x:v>
      </x:c>
    </x:row>
    <x:row r="87">
      <x:c r="A87" t="str">
        <x:v>A12</x:v>
      </x:c>
      <x:c r="B87" t="str">
        <x:v>F1202</x:v>
      </x:c>
      <x:c r="C87" t="str">
        <x:v>Administración y gestión empresarial</x:v>
      </x:c>
      <x:c r="D87" s="28" t="n">
        <x:v>0.025</x:v>
      </x:c>
      <x:c r="E87" s="28" t="n">
        <x:v>0.025</x:v>
      </x:c>
      <x:c r="F87" s="28" t="n">
        <x:v>0</x:v>
      </x:c>
      <x:c r="G87" s="28" t="n">
        <x:v>0.025</x:v>
      </x:c>
      <x:c r="H87" s="28" t="n">
        <x:v>0</x:v>
      </x:c>
      <x:c r="I87" s="28" t="n">
        <x:v>0.016666666666666666</x:v>
      </x:c>
      <x:c r="J87" s="28" t="n">
        <x:v>0.022222222222222223</x:v>
      </x:c>
      <x:c r="K87" s="28" t="n">
        <x:v>0</x:v>
      </x:c>
      <x:c r="L87" s="28" t="n">
        <x:v>0</x:v>
      </x:c>
      <x:c r="M87" s="28" t="n">
        <x:v>0.1</x:v>
      </x:c>
      <x:c r="N87" s="28" t="n">
        <x:v>0</x:v>
      </x:c>
      <x:c r="O87" s="28" t="n">
        <x:v>0</x:v>
      </x:c>
    </x:row>
    <x:row r="88">
      <x:c r="A88" t="str">
        <x:v>A12</x:v>
      </x:c>
      <x:c r="B88" t="str">
        <x:v>F1203</x:v>
      </x:c>
      <x:c r="C88" t="str">
        <x:v>Costos, valoración y finanzas</x:v>
      </x:c>
      <x:c r="D88" s="28" t="n">
        <x:v>0.016666666666666666</x:v>
      </x:c>
      <x:c r="E88" s="28" t="n">
        <x:v>0</x:v>
      </x:c>
      <x:c r="F88" s="28" t="n">
        <x:v>0.025</x:v>
      </x:c>
      <x:c r="G88" s="28" t="n">
        <x:v>0</x:v>
      </x:c>
      <x:c r="H88" s="28" t="n">
        <x:v>0</x:v>
      </x:c>
      <x:c r="I88" s="28" t="n">
        <x:v>0</x:v>
      </x:c>
      <x:c r="J88" s="28" t="n">
        <x:v>0</x:v>
      </x:c>
      <x:c r="K88" s="28" t="n">
        <x:v>0</x:v>
      </x:c>
      <x:c r="L88" s="28" t="n">
        <x:v>0</x:v>
      </x:c>
      <x:c r="M88" s="28" t="n">
        <x:v>0</x:v>
      </x:c>
      <x:c r="N88" s="28" t="n">
        <x:v>0</x:v>
      </x:c>
      <x:c r="O88" s="28" t="n">
        <x:v>0</x:v>
      </x:c>
    </x:row>
    <x:row r="89">
      <x:c r="A89" t="str">
        <x:v>A12</x:v>
      </x:c>
      <x:c r="B89" t="str">
        <x:v>F1204</x:v>
      </x:c>
      <x:c r="C89" t="str">
        <x:v>Marketing y comercialización</x:v>
      </x:c>
      <x:c r="D89" s="28" t="n">
        <x:v>0</x:v>
      </x:c>
      <x:c r="E89" s="28" t="n">
        <x:v>0.0125</x:v>
      </x:c>
      <x:c r="F89" s="28" t="n">
        <x:v>0</x:v>
      </x:c>
      <x:c r="G89" s="28" t="n">
        <x:v>0.020833333333333332</x:v>
      </x:c>
      <x:c r="H89" s="28" t="n">
        <x:v>0</x:v>
      </x:c>
      <x:c r="I89" s="28" t="n">
        <x:v>0</x:v>
      </x:c>
      <x:c r="J89" s="28" t="n">
        <x:v>0</x:v>
      </x:c>
      <x:c r="K89" s="28" t="n">
        <x:v>0</x:v>
      </x:c>
      <x:c r="L89" s="28" t="n">
        <x:v>0</x:v>
      </x:c>
      <x:c r="M89" s="28" t="n">
        <x:v>0</x:v>
      </x:c>
      <x:c r="N89" s="28" t="n">
        <x:v>0</x:v>
      </x:c>
      <x:c r="O89" s="28" t="n">
        <x:v>0</x:v>
      </x:c>
    </x:row>
    <x:row r="90">
      <x:c r="A90" t="str">
        <x:v>A12</x:v>
      </x:c>
      <x:c r="B90" t="str">
        <x:v>F1205</x:v>
      </x:c>
      <x:c r="C90" t="str">
        <x:v>Logística y supply chain</x:v>
      </x:c>
      <x:c r="D90" s="28" t="n">
        <x:v>0</x:v>
      </x:c>
      <x:c r="E90" s="28" t="n">
        <x:v>0</x:v>
      </x:c>
      <x:c r="F90" s="28" t="n">
        <x:v>0</x:v>
      </x:c>
      <x:c r="G90" s="28" t="n">
        <x:v>0</x:v>
      </x:c>
      <x:c r="H90" s="28" t="n">
        <x:v>0</x:v>
      </x:c>
      <x:c r="I90" s="28" t="n">
        <x:v>0</x:v>
      </x:c>
      <x:c r="J90" s="28" t="n">
        <x:v>0</x:v>
      </x:c>
      <x:c r="K90" s="28" t="n">
        <x:v>0</x:v>
      </x:c>
      <x:c r="L90" s="28" t="n">
        <x:v>0</x:v>
      </x:c>
      <x:c r="M90" s="28" t="n">
        <x:v>0</x:v>
      </x:c>
      <x:c r="N90" s="28" t="n">
        <x:v>0</x:v>
      </x:c>
      <x:c r="O90" s="28" t="n">
        <x:v>0</x:v>
      </x:c>
    </x:row>
    <x:row r="91">
      <x:c r="A91" t="str">
        <x:v>A12</x:v>
      </x:c>
      <x:c r="B91" t="str">
        <x:v>F1206</x:v>
      </x:c>
      <x:c r="C91" t="str">
        <x:v>Gestión de producción y operaciones</x:v>
      </x:c>
      <x:c r="D91" s="28" t="n">
        <x:v>0</x:v>
      </x:c>
      <x:c r="E91" s="28" t="n">
        <x:v>0</x:v>
      </x:c>
      <x:c r="F91" s="28" t="n">
        <x:v>0</x:v>
      </x:c>
      <x:c r="G91" s="28" t="n">
        <x:v>0</x:v>
      </x:c>
      <x:c r="H91" s="28" t="n">
        <x:v>0</x:v>
      </x:c>
      <x:c r="I91" s="28" t="n">
        <x:v>0</x:v>
      </x:c>
      <x:c r="J91" s="28" t="n">
        <x:v>0</x:v>
      </x:c>
      <x:c r="K91" s="28" t="n">
        <x:v>0</x:v>
      </x:c>
      <x:c r="L91" s="28" t="n">
        <x:v>0</x:v>
      </x:c>
      <x:c r="M91" s="28" t="n">
        <x:v>0</x:v>
      </x:c>
      <x:c r="N91" s="28" t="n">
        <x:v>0</x:v>
      </x:c>
      <x:c r="O91" s="28" t="n">
        <x:v>0</x:v>
      </x:c>
    </x:row>
    <x:row r="92">
      <x:c r="A92" t="str">
        <x:v>A12</x:v>
      </x:c>
      <x:c r="B92" t="str">
        <x:v>F1207</x:v>
      </x:c>
      <x:c r="C92" t="str">
        <x:v>Gestión de proyectos</x:v>
      </x:c>
      <x:c r="D92" s="28" t="n">
        <x:v>0</x:v>
      </x:c>
      <x:c r="E92" s="28" t="n">
        <x:v>0</x:v>
      </x:c>
      <x:c r="F92" s="28" t="n">
        <x:v>0</x:v>
      </x:c>
      <x:c r="G92" s="28" t="n">
        <x:v>0</x:v>
      </x:c>
      <x:c r="H92" s="28" t="n">
        <x:v>0</x:v>
      </x:c>
      <x:c r="I92" s="28" t="n">
        <x:v>0</x:v>
      </x:c>
      <x:c r="J92" s="28" t="n">
        <x:v>0</x:v>
      </x:c>
      <x:c r="K92" s="28" t="n">
        <x:v>0</x:v>
      </x:c>
      <x:c r="L92" s="28" t="n">
        <x:v>0</x:v>
      </x:c>
      <x:c r="M92" s="28" t="n">
        <x:v>0</x:v>
      </x:c>
      <x:c r="N92" s="28" t="n">
        <x:v>0</x:v>
      </x:c>
      <x:c r="O92" s="28" t="n">
        <x:v>0</x:v>
      </x:c>
    </x:row>
    <x:row r="93">
      <x:c r="A93" t="str">
        <x:v>A12</x:v>
      </x:c>
      <x:c r="B93" t="str">
        <x:v>F1208</x:v>
      </x:c>
      <x:c r="C93" t="str">
        <x:v>Emprendimiento y modelos de negocio</x:v>
      </x:c>
      <x:c r="D93" s="28" t="n">
        <x:v>0</x:v>
      </x:c>
      <x:c r="E93" s="28" t="n">
        <x:v>0</x:v>
      </x:c>
      <x:c r="F93" s="28" t="n">
        <x:v>0</x:v>
      </x:c>
      <x:c r="G93" s="28" t="n">
        <x:v>0</x:v>
      </x:c>
      <x:c r="H93" s="28" t="n">
        <x:v>0.03333333333333333</x:v>
      </x:c>
      <x:c r="I93" s="28" t="n">
        <x:v>0</x:v>
      </x:c>
      <x:c r="J93" s="28" t="n">
        <x:v>0.027777777777777776</x:v>
      </x:c>
      <x:c r="K93" s="28" t="n">
        <x:v>0</x:v>
      </x:c>
      <x:c r="L93" s="28" t="n">
        <x:v>0</x:v>
      </x:c>
      <x:c r="M93" s="28" t="n">
        <x:v>0</x:v>
      </x:c>
      <x:c r="N93" s="28" t="n">
        <x:v>0</x:v>
      </x:c>
      <x:c r="O93" s="28" t="n">
        <x:v>0</x:v>
      </x:c>
    </x:row>
    <x:row r="94">
      <x:c r="A94" t="str">
        <x:v>A13</x:v>
      </x:c>
      <x:c r="B94" t="str">
        <x:v>F1301</x:v>
      </x:c>
      <x:c r="C94" t="str">
        <x:v>Nutrición humana y dietética</x:v>
      </x:c>
      <x:c r="D94" s="28" t="n">
        <x:v>0.0125</x:v>
      </x:c>
      <x:c r="E94" s="28" t="n">
        <x:v>0</x:v>
      </x:c>
      <x:c r="F94" s="28" t="n">
        <x:v>0</x:v>
      </x:c>
      <x:c r="G94" s="28" t="n">
        <x:v>0</x:v>
      </x:c>
      <x:c r="H94" s="28" t="n">
        <x:v>0</x:v>
      </x:c>
      <x:c r="I94" s="28" t="n">
        <x:v>0.03333333333333333</x:v>
      </x:c>
      <x:c r="J94" s="28" t="n">
        <x:v>0</x:v>
      </x:c>
      <x:c r="K94" s="28" t="n">
        <x:v>0.03333333333333333</x:v>
      </x:c>
      <x:c r="L94" s="28" t="n">
        <x:v>0</x:v>
      </x:c>
      <x:c r="M94" s="28" t="n">
        <x:v>0</x:v>
      </x:c>
      <x:c r="N94" s="28" t="n">
        <x:v>0</x:v>
      </x:c>
      <x:c r="O94" s="28" t="n">
        <x:v>0</x:v>
      </x:c>
    </x:row>
    <x:row r="95">
      <x:c r="A95" t="str">
        <x:v>A13</x:v>
      </x:c>
      <x:c r="B95" t="str">
        <x:v>F1302</x:v>
      </x:c>
      <x:c r="C95" t="str">
        <x:v>Alimentación y salud / alimentos funcionales</x:v>
      </x:c>
      <x:c r="D95" s="28" t="n">
        <x:v>0</x:v>
      </x:c>
      <x:c r="E95" s="28" t="n">
        <x:v>0</x:v>
      </x:c>
      <x:c r="F95" s="28" t="n">
        <x:v>0</x:v>
      </x:c>
      <x:c r="G95" s="28" t="n">
        <x:v>0</x:v>
      </x:c>
      <x:c r="H95" s="28" t="n">
        <x:v>0</x:v>
      </x:c>
      <x:c r="I95" s="28" t="n">
        <x:v>0</x:v>
      </x:c>
      <x:c r="J95" s="28" t="n">
        <x:v>0</x:v>
      </x:c>
      <x:c r="K95" s="28" t="n">
        <x:v>0</x:v>
      </x:c>
      <x:c r="L95" s="28" t="n">
        <x:v>0</x:v>
      </x:c>
      <x:c r="M95" s="28" t="n">
        <x:v>0</x:v>
      </x:c>
      <x:c r="N95" s="28" t="n">
        <x:v>0</x:v>
      </x:c>
      <x:c r="O95" s="28" t="n">
        <x:v>0</x:v>
      </x:c>
    </x:row>
    <x:row r="96">
      <x:c r="A96" t="str">
        <x:v>A13</x:v>
      </x:c>
      <x:c r="B96" t="str">
        <x:v>F1303</x:v>
      </x:c>
      <x:c r="C96" t="str">
        <x:v>Ciencia sensorial y del consumidor</x:v>
      </x:c>
      <x:c r="D96" s="28" t="n">
        <x:v>0</x:v>
      </x:c>
      <x:c r="E96" s="28" t="n">
        <x:v>0</x:v>
      </x:c>
      <x:c r="F96" s="28" t="n">
        <x:v>0</x:v>
      </x:c>
      <x:c r="G96" s="28" t="n">
        <x:v>0</x:v>
      </x:c>
      <x:c r="H96" s="28" t="n">
        <x:v>0</x:v>
      </x:c>
      <x:c r="I96" s="28" t="n">
        <x:v>0</x:v>
      </x:c>
      <x:c r="J96" s="28" t="n">
        <x:v>0</x:v>
      </x:c>
      <x:c r="K96" s="28" t="n">
        <x:v>0</x:v>
      </x:c>
      <x:c r="L96" s="28" t="n">
        <x:v>0</x:v>
      </x:c>
      <x:c r="M96" s="28" t="n">
        <x:v>0</x:v>
      </x:c>
      <x:c r="N96" s="28" t="n">
        <x:v>0</x:v>
      </x:c>
      <x:c r="O96" s="28" t="n">
        <x:v>0</x:v>
      </x:c>
    </x:row>
    <x:row r="97">
      <x:c r="A97" t="str">
        <x:v>A14</x:v>
      </x:c>
      <x:c r="B97" t="str">
        <x:v>F1401</x:v>
      </x:c>
      <x:c r="C97" t="str">
        <x:v>Desarrollo e innovación de productos alimentarios</x:v>
      </x:c>
      <x:c r="D97" s="28" t="n">
        <x:v>0</x:v>
      </x:c>
      <x:c r="E97" s="28" t="n">
        <x:v>0</x:v>
      </x:c>
      <x:c r="F97" s="28" t="n">
        <x:v>0</x:v>
      </x:c>
      <x:c r="G97" s="28" t="n">
        <x:v>0</x:v>
      </x:c>
      <x:c r="H97" s="28" t="n">
        <x:v>0.03333333333333333</x:v>
      </x:c>
      <x:c r="I97" s="28" t="n">
        <x:v>0</x:v>
      </x:c>
      <x:c r="J97" s="28" t="n">
        <x:v>0.027777777777777776</x:v>
      </x:c>
      <x:c r="K97" s="28" t="n">
        <x:v>0</x:v>
      </x:c>
      <x:c r="L97" s="28" t="n">
        <x:v>0</x:v>
      </x:c>
      <x:c r="M97" s="28" t="n">
        <x:v>0</x:v>
      </x:c>
      <x:c r="N97" s="28" t="n">
        <x:v>0</x:v>
      </x:c>
      <x:c r="O97" s="28" t="n">
        <x:v>0</x:v>
      </x:c>
    </x:row>
    <x:row r="98">
      <x:c r="A98" t="str">
        <x:v>A14</x:v>
      </x:c>
      <x:c r="B98" t="str">
        <x:v>F1402</x:v>
      </x:c>
      <x:c r="C98" t="str">
        <x:v>Formulación avanzada orientada a innovación</x:v>
      </x:c>
      <x:c r="D98" s="28" t="n">
        <x:v>0</x:v>
      </x:c>
      <x:c r="E98" s="28" t="n">
        <x:v>0</x:v>
      </x:c>
      <x:c r="F98" s="28" t="n">
        <x:v>0</x:v>
      </x:c>
      <x:c r="G98" s="28" t="n">
        <x:v>0</x:v>
      </x:c>
      <x:c r="H98" s="28" t="n">
        <x:v>0</x:v>
      </x:c>
      <x:c r="I98" s="28" t="n">
        <x:v>0</x:v>
      </x:c>
      <x:c r="J98" s="28" t="n">
        <x:v>0</x:v>
      </x:c>
      <x:c r="K98" s="28" t="n">
        <x:v>0</x:v>
      </x:c>
      <x:c r="L98" s="28" t="n">
        <x:v>0</x:v>
      </x:c>
      <x:c r="M98" s="28" t="n">
        <x:v>0</x:v>
      </x:c>
      <x:c r="N98" s="28" t="n">
        <x:v>0</x:v>
      </x:c>
      <x:c r="O98" s="28" t="n">
        <x:v>0</x:v>
      </x:c>
    </x:row>
    <x:row r="99">
      <x:c r="A99" t="str">
        <x:v>A14</x:v>
      </x:c>
      <x:c r="B99" t="str">
        <x:v>F1403</x:v>
      </x:c>
      <x:c r="C99" t="str">
        <x:v>Investigación y desarrollo aplicado</x:v>
      </x:c>
      <x:c r="D99" s="28" t="n">
        <x:v>0</x:v>
      </x:c>
      <x:c r="E99" s="28" t="n">
        <x:v>0</x:v>
      </x:c>
      <x:c r="F99" s="28" t="n">
        <x:v>0</x:v>
      </x:c>
      <x:c r="G99" s="28" t="n">
        <x:v>0</x:v>
      </x:c>
      <x:c r="H99" s="28" t="n">
        <x:v>0</x:v>
      </x:c>
      <x:c r="I99" s="28" t="n">
        <x:v>0</x:v>
      </x:c>
      <x:c r="J99" s="28" t="n">
        <x:v>0</x:v>
      </x:c>
      <x:c r="K99" s="28" t="n">
        <x:v>0</x:v>
      </x:c>
      <x:c r="L99" s="28" t="n">
        <x:v>0</x:v>
      </x:c>
      <x:c r="M99" s="28" t="n">
        <x:v>0</x:v>
      </x:c>
      <x:c r="N99" s="28" t="n">
        <x:v>0</x:v>
      </x:c>
      <x:c r="O99" s="28" t="n">
        <x:v>0</x:v>
      </x:c>
    </x:row>
    <x:row r="100">
      <x:c r="A100" t="str">
        <x:v>A14</x:v>
      </x:c>
      <x:c r="B100" t="str">
        <x:v>F1404</x:v>
      </x:c>
      <x:c r="C100" t="str">
        <x:v>Diseño experimental aplicado a I+D</x:v>
      </x:c>
      <x:c r="D100" s="28" t="n">
        <x:v>0</x:v>
      </x:c>
      <x:c r="E100" s="28" t="n">
        <x:v>0</x:v>
      </x:c>
      <x:c r="F100" s="28" t="n">
        <x:v>0</x:v>
      </x:c>
      <x:c r="G100" s="28" t="n">
        <x:v>0</x:v>
      </x:c>
      <x:c r="H100" s="28" t="n">
        <x:v>0</x:v>
      </x:c>
      <x:c r="I100" s="28" t="n">
        <x:v>0</x:v>
      </x:c>
      <x:c r="J100" s="28" t="n">
        <x:v>0</x:v>
      </x:c>
      <x:c r="K100" s="28" t="n">
        <x:v>0</x:v>
      </x:c>
      <x:c r="L100" s="28" t="n">
        <x:v>0</x:v>
      </x:c>
      <x:c r="M100" s="28" t="n">
        <x:v>0</x:v>
      </x:c>
      <x:c r="N100" s="28" t="n">
        <x:v>0</x:v>
      </x:c>
      <x:c r="O100" s="28" t="n">
        <x:v>0</x:v>
      </x:c>
    </x:row>
    <x:row r="101">
      <x:c r="A101" t="str">
        <x:v>A15</x:v>
      </x:c>
      <x:c r="B101" t="str">
        <x:v>F1501</x:v>
      </x:c>
      <x:c r="C101" t="str">
        <x:v>Proyecto de ingeniería / oficina técnica</x:v>
      </x:c>
      <x:c r="D101" s="28" t="n">
        <x:v>0.016666666666666666</x:v>
      </x:c>
      <x:c r="E101" s="28" t="n">
        <x:v>0.025</x:v>
      </x:c>
      <x:c r="F101" s="28" t="n">
        <x:v>0</x:v>
      </x:c>
      <x:c r="G101" s="28" t="n">
        <x:v>0.025</x:v>
      </x:c>
      <x:c r="H101" s="28" t="n">
        <x:v>0</x:v>
      </x:c>
      <x:c r="I101" s="28" t="n">
        <x:v>0</x:v>
      </x:c>
      <x:c r="J101" s="28" t="n">
        <x:v>0</x:v>
      </x:c>
      <x:c r="K101" s="28" t="n">
        <x:v>0</x:v>
      </x:c>
      <x:c r="L101" s="28" t="n">
        <x:v>0</x:v>
      </x:c>
      <x:c r="M101" s="28" t="n">
        <x:v>0</x:v>
      </x:c>
      <x:c r="N101" s="28" t="n">
        <x:v>0</x:v>
      </x:c>
      <x:c r="O101" s="28" t="n">
        <x:v>0</x:v>
      </x:c>
    </x:row>
    <x:row r="102">
      <x:c r="A102" t="str">
        <x:v>A15</x:v>
      </x:c>
      <x:c r="B102" t="str">
        <x:v>F1502</x:v>
      </x:c>
      <x:c r="C102" t="str">
        <x:v>Proyecto integrador / capstone</x:v>
      </x:c>
      <x:c r="D102" s="28" t="n">
        <x:v>0</x:v>
      </x:c>
      <x:c r="E102" s="28" t="n">
        <x:v>0</x:v>
      </x:c>
      <x:c r="F102" s="28" t="n">
        <x:v>0</x:v>
      </x:c>
      <x:c r="G102" s="28" t="n">
        <x:v>0</x:v>
      </x:c>
      <x:c r="H102" s="28" t="n">
        <x:v>0</x:v>
      </x:c>
      <x:c r="I102" s="28" t="n">
        <x:v>0</x:v>
      </x:c>
      <x:c r="J102" s="28" t="n">
        <x:v>0</x:v>
      </x:c>
      <x:c r="K102" s="28" t="n">
        <x:v>0</x:v>
      </x:c>
      <x:c r="L102" s="28" t="n">
        <x:v>0</x:v>
      </x:c>
      <x:c r="M102" s="28" t="n">
        <x:v>0</x:v>
      </x:c>
      <x:c r="N102" s="28" t="n">
        <x:v>0</x:v>
      </x:c>
      <x:c r="O102" s="28" t="n">
        <x:v>0</x:v>
      </x:c>
    </x:row>
    <x:row r="103">
      <x:c r="A103" t="str">
        <x:v>A15</x:v>
      </x:c>
      <x:c r="B103" t="str">
        <x:v>F1503</x:v>
      </x:c>
      <x:c r="C103" t="str">
        <x:v>Trabajo Fin de Grado / Bachelor thesis</x:v>
      </x:c>
      <x:c r="D103" s="28" t="n">
        <x:v>0.05</x:v>
      </x:c>
      <x:c r="E103" s="28" t="n">
        <x:v>0.05</x:v>
      </x:c>
      <x:c r="F103" s="28" t="n">
        <x:v>0.075</x:v>
      </x:c>
      <x:c r="G103" s="28" t="n">
        <x:v>0.05</x:v>
      </x:c>
      <x:c r="H103" s="28" t="n">
        <x:v>0</x:v>
      </x:c>
      <x:c r="I103" s="28" t="n">
        <x:v>0</x:v>
      </x:c>
      <x:c r="J103" s="28" t="n">
        <x:v>0</x:v>
      </x:c>
      <x:c r="K103" s="28" t="n">
        <x:v>0.03333333333333333</x:v>
      </x:c>
      <x:c r="L103" s="28" t="n">
        <x:v>0.022222222222222223</x:v>
      </x:c>
      <x:c r="M103" s="28" t="n">
        <x:v>0.016666666666666666</x:v>
      </x:c>
      <x:c r="N103" s="28" t="n">
        <x:v>0.06666666666666667</x:v>
      </x:c>
      <x:c r="O103" s="28" t="n">
        <x:v>0.06666666666666667</x:v>
      </x:c>
    </x:row>
    <x:row r="104">
      <x:c r="A104" t="str">
        <x:v>A15</x:v>
      </x:c>
      <x:c r="B104" t="str">
        <x:v>F1504</x:v>
      </x:c>
      <x:c r="C104" t="str">
        <x:v>Tesis / mémoire de investigación</x:v>
      </x:c>
      <x:c r="D104" s="28" t="n">
        <x:v>0</x:v>
      </x:c>
      <x:c r="E104" s="28" t="n">
        <x:v>0</x:v>
      </x:c>
      <x:c r="F104" s="28" t="n">
        <x:v>0</x:v>
      </x:c>
      <x:c r="G104" s="28" t="n">
        <x:v>0</x:v>
      </x:c>
      <x:c r="H104" s="28" t="n">
        <x:v>0</x:v>
      </x:c>
      <x:c r="I104" s="28" t="n">
        <x:v>0</x:v>
      </x:c>
      <x:c r="J104" s="28" t="n">
        <x:v>0</x:v>
      </x:c>
      <x:c r="K104" s="28" t="n">
        <x:v>0</x:v>
      </x:c>
      <x:c r="L104" s="28" t="n">
        <x:v>0</x:v>
      </x:c>
      <x:c r="M104" s="28" t="n">
        <x:v>0</x:v>
      </x:c>
      <x:c r="N104" s="28" t="n">
        <x:v>0</x:v>
      </x:c>
      <x:c r="O104" s="28" t="n">
        <x:v>0</x:v>
      </x:c>
    </x:row>
    <x:row r="105">
      <x:c r="A105" t="str">
        <x:v>A15</x:v>
      </x:c>
      <x:c r="B105" t="str">
        <x:v>F1505</x:v>
      </x:c>
      <x:c r="C105" t="str">
        <x:v>Práctica externa / internship / stage</x:v>
      </x:c>
      <x:c r="D105" s="28" t="n">
        <x:v>0</x:v>
      </x:c>
      <x:c r="E105" s="28" t="n">
        <x:v>0</x:v>
      </x:c>
      <x:c r="F105" s="28" t="n">
        <x:v>0</x:v>
      </x:c>
      <x:c r="G105" s="28" t="n">
        <x:v>0</x:v>
      </x:c>
      <x:c r="H105" s="28" t="n">
        <x:v>0.03333333333333333</x:v>
      </x:c>
      <x:c r="I105" s="28" t="n">
        <x:v>0.03333333333333333</x:v>
      </x:c>
      <x:c r="J105" s="28" t="n">
        <x:v>0.1</x:v>
      </x:c>
      <x:c r="K105" s="28" t="n">
        <x:v>0.027777777777777776</x:v>
      </x:c>
      <x:c r="L105" s="28" t="n">
        <x:v>0.05555555555555555</x:v>
      </x:c>
      <x:c r="M105" s="28" t="n">
        <x:v>0.03333333333333333</x:v>
      </x:c>
      <x:c r="N105" s="28" t="n">
        <x:v>0</x:v>
      </x:c>
      <x:c r="O105" s="28" t="n">
        <x:v>0.044444444444444446</x:v>
      </x:c>
    </x:row>
    <x:row r="106">
      <x:c r="A106" t="str">
        <x:v>A15</x:v>
      </x:c>
      <x:c r="B106" t="str">
        <x:v>F1506</x:v>
      </x:c>
      <x:c r="C106" t="str">
        <x:v>Stage final / misión de ingeniero</x:v>
      </x:c>
      <x:c r="D106" s="28" t="n">
        <x:v>0</x:v>
      </x:c>
      <x:c r="E106" s="28" t="n">
        <x:v>0</x:v>
      </x:c>
      <x:c r="F106" s="28" t="n">
        <x:v>0</x:v>
      </x:c>
      <x:c r="G106" s="28" t="n">
        <x:v>0</x:v>
      </x:c>
      <x:c r="H106" s="28" t="n">
        <x:v>0</x:v>
      </x:c>
      <x:c r="I106" s="28" t="n">
        <x:v>0</x:v>
      </x:c>
      <x:c r="J106" s="28" t="n">
        <x:v>0</x:v>
      </x:c>
      <x:c r="K106" s="28" t="n">
        <x:v>0</x:v>
      </x:c>
      <x:c r="L106" s="28" t="n">
        <x:v>0</x:v>
      </x:c>
      <x:c r="M106" s="28" t="n">
        <x:v>0</x:v>
      </x:c>
      <x:c r="N106" s="28" t="n">
        <x:v>0</x:v>
      </x:c>
      <x:c r="O106" s="28" t="n">
        <x:v>0</x:v>
      </x:c>
    </x:row>
    <x:row r="107">
      <x:c r="A107" t="str">
        <x:v>A15</x:v>
      </x:c>
      <x:c r="B107" t="str">
        <x:v>F1507</x:v>
      </x:c>
      <x:c r="C107" t="str">
        <x:v>Taller / laboratorio integrador / proyecto práctico</x:v>
      </x:c>
      <x:c r="D107" s="28" t="n">
        <x:v>0.0125</x:v>
      </x:c>
      <x:c r="E107" s="28" t="n">
        <x:v>0</x:v>
      </x:c>
      <x:c r="F107" s="28" t="n">
        <x:v>0.025</x:v>
      </x:c>
      <x:c r="G107" s="28" t="n">
        <x:v>0</x:v>
      </x:c>
      <x:c r="H107" s="28" t="n">
        <x:v>0</x:v>
      </x:c>
      <x:c r="I107" s="28" t="n">
        <x:v>0</x:v>
      </x:c>
      <x:c r="J107" s="28" t="n">
        <x:v>0.022222222222222223</x:v>
      </x:c>
      <x:c r="K107" s="28" t="n">
        <x:v>0</x:v>
      </x:c>
      <x:c r="L107" s="28" t="n">
        <x:v>0</x:v>
      </x:c>
      <x:c r="M107" s="28" t="n">
        <x:v>0</x:v>
      </x:c>
      <x:c r="N107" s="28" t="n">
        <x:v>0.06666666666666667</x:v>
      </x:c>
      <x:c r="O107" s="28" t="n">
        <x:v>0</x:v>
      </x:c>
    </x:row>
    <x:row r="108">
      <x:c r="A108" t="str">
        <x:v>A15</x:v>
      </x:c>
      <x:c r="B108" t="str">
        <x:v>F1508</x:v>
      </x:c>
      <x:c r="C108" t="str">
        <x:v>Movilidad y experiencia internacional</x:v>
      </x:c>
      <x:c r="D108" s="28" t="n">
        <x:v>0</x:v>
      </x:c>
      <x:c r="E108" s="28" t="n">
        <x:v>0</x:v>
      </x:c>
      <x:c r="F108" s="28" t="n">
        <x:v>0</x:v>
      </x:c>
      <x:c r="G108" s="28" t="n">
        <x:v>0</x:v>
      </x:c>
      <x:c r="H108" s="28" t="n">
        <x:v>0</x:v>
      </x:c>
      <x:c r="I108" s="28" t="n">
        <x:v>0</x:v>
      </x:c>
      <x:c r="J108" s="28" t="n">
        <x:v>0</x:v>
      </x:c>
      <x:c r="K108" s="28" t="n">
        <x:v>0</x:v>
      </x:c>
      <x:c r="L108" s="28" t="n">
        <x:v>0</x:v>
      </x:c>
      <x:c r="M108" s="28" t="n">
        <x:v>0</x:v>
      </x:c>
      <x:c r="N108" s="28" t="n">
        <x:v>0</x:v>
      </x:c>
      <x:c r="O108" s="28" t="n">
        <x:v>0</x:v>
      </x:c>
    </x:row>
    <x:row r="109">
      <x:c r="A109" t="str">
        <x:v>A16</x:v>
      </x:c>
      <x:c r="B109" t="str">
        <x:v>F1601</x:v>
      </x:c>
      <x:c r="C109" t="str">
        <x:v>Idioma extranjero</x:v>
      </x:c>
      <x:c r="D109" s="28" t="n">
        <x:v>0</x:v>
      </x:c>
      <x:c r="E109" s="28" t="n">
        <x:v>0</x:v>
      </x:c>
      <x:c r="F109" s="28" t="n">
        <x:v>0</x:v>
      </x:c>
      <x:c r="G109" s="28" t="n">
        <x:v>0</x:v>
      </x:c>
      <x:c r="H109" s="28" t="n">
        <x:v>0</x:v>
      </x:c>
      <x:c r="I109" s="28" t="n">
        <x:v>0</x:v>
      </x:c>
      <x:c r="J109" s="28" t="n">
        <x:v>0</x:v>
      </x:c>
      <x:c r="K109" s="28" t="n">
        <x:v>0</x:v>
      </x:c>
      <x:c r="L109" s="28" t="n">
        <x:v>0.03333333333333333</x:v>
      </x:c>
      <x:c r="M109" s="28" t="n">
        <x:v>0.03333333333333333</x:v>
      </x:c>
      <x:c r="N109" s="28" t="n">
        <x:v>0</x:v>
      </x:c>
      <x:c r="O109" s="28" t="n">
        <x:v>0</x:v>
      </x:c>
    </x:row>
    <x:row r="110">
      <x:c r="A110" t="str">
        <x:v>A16</x:v>
      </x:c>
      <x:c r="B110" t="str">
        <x:v>F1602</x:v>
      </x:c>
      <x:c r="C110" t="str">
        <x:v>Comunicación académica y profesional</x:v>
      </x:c>
      <x:c r="D110" s="28" t="n">
        <x:v>0.025</x:v>
      </x:c>
      <x:c r="E110" s="28" t="n">
        <x:v>0</x:v>
      </x:c>
      <x:c r="F110" s="28" t="n">
        <x:v>0</x:v>
      </x:c>
      <x:c r="G110" s="28" t="n">
        <x:v>0</x:v>
      </x:c>
      <x:c r="H110" s="28" t="n">
        <x:v>0</x:v>
      </x:c>
      <x:c r="I110" s="28" t="n">
        <x:v>0</x:v>
      </x:c>
      <x:c r="J110" s="28" t="n">
        <x:v>0</x:v>
      </x:c>
      <x:c r="K110" s="28" t="n">
        <x:v>0</x:v>
      </x:c>
      <x:c r="L110" s="28" t="n">
        <x:v>0</x:v>
      </x:c>
      <x:c r="M110" s="28" t="n">
        <x:v>0</x:v>
      </x:c>
      <x:c r="N110" s="28" t="n">
        <x:v>0</x:v>
      </x:c>
      <x:c r="O110" s="28" t="n">
        <x:v>0</x:v>
      </x:c>
    </x:row>
    <x:row r="111">
      <x:c r="A111" t="str">
        <x:v>A16</x:v>
      </x:c>
      <x:c r="B111" t="str">
        <x:v>F1603</x:v>
      </x:c>
      <x:c r="C111" t="str">
        <x:v>Ética, responsabilidad y desarrollo profesional</x:v>
      </x:c>
      <x:c r="D111" s="28" t="n">
        <x:v>0</x:v>
      </x:c>
      <x:c r="E111" s="28" t="n">
        <x:v>0</x:v>
      </x:c>
      <x:c r="F111" s="28" t="n">
        <x:v>0</x:v>
      </x:c>
      <x:c r="G111" s="28" t="n">
        <x:v>0</x:v>
      </x:c>
      <x:c r="H111" s="28" t="n">
        <x:v>0</x:v>
      </x:c>
      <x:c r="I111" s="28" t="n">
        <x:v>0</x:v>
      </x:c>
      <x:c r="J111" s="28" t="n">
        <x:v>0</x:v>
      </x:c>
      <x:c r="K111" s="28" t="n">
        <x:v>0</x:v>
      </x:c>
      <x:c r="L111" s="28" t="n">
        <x:v>0</x:v>
      </x:c>
      <x:c r="M111" s="28" t="n">
        <x:v>0</x:v>
      </x:c>
      <x:c r="N111" s="28" t="n">
        <x:v>0</x:v>
      </x:c>
      <x:c r="O111" s="28" t="n">
        <x:v>0.022222222222222223</x:v>
      </x:c>
    </x:row>
    <x:row r="112">
      <x:c r="A112" t="str">
        <x:v>A16</x:v>
      </x:c>
      <x:c r="B112" t="str">
        <x:v>F1604</x:v>
      </x:c>
      <x:c r="C112" t="str">
        <x:v>Propiedad intelectual y regulación profesional general</x:v>
      </x:c>
      <x:c r="D112" s="28" t="n">
        <x:v>0</x:v>
      </x:c>
      <x:c r="E112" s="28" t="n">
        <x:v>0</x:v>
      </x:c>
      <x:c r="F112" s="28" t="n">
        <x:v>0</x:v>
      </x:c>
      <x:c r="G112" s="28" t="n">
        <x:v>0</x:v>
      </x:c>
      <x:c r="H112" s="28" t="n">
        <x:v>0</x:v>
      </x:c>
      <x:c r="I112" s="28" t="n">
        <x:v>0</x:v>
      </x:c>
      <x:c r="J112" s="28" t="n">
        <x:v>0</x:v>
      </x:c>
      <x:c r="K112" s="28" t="n">
        <x:v>0</x:v>
      </x:c>
      <x:c r="L112" s="28" t="n">
        <x:v>0</x:v>
      </x:c>
      <x:c r="M112" s="28" t="n">
        <x:v>0</x:v>
      </x:c>
      <x:c r="N112" s="28" t="n">
        <x:v>0</x:v>
      </x:c>
      <x:c r="O112" s="28" t="n">
        <x:v>0</x:v>
      </x:c>
    </x:row>
    <x:row r="113">
      <x:c r="A113" t="str">
        <x:v>A16</x:v>
      </x:c>
      <x:c r="B113" t="str">
        <x:v>F1605</x:v>
      </x:c>
      <x:c r="C113" t="str">
        <x:v>Documentación y alfabetización informacional</x:v>
      </x:c>
      <x:c r="D113" s="28" t="n">
        <x:v>0</x:v>
      </x:c>
      <x:c r="E113" s="28" t="n">
        <x:v>0</x:v>
      </x:c>
      <x:c r="F113" s="28" t="n">
        <x:v>0</x:v>
      </x:c>
      <x:c r="G113" s="28" t="n">
        <x:v>0</x:v>
      </x:c>
      <x:c r="H113" s="28" t="n">
        <x:v>0</x:v>
      </x:c>
      <x:c r="I113" s="28" t="n">
        <x:v>0</x:v>
      </x:c>
      <x:c r="J113" s="28" t="n">
        <x:v>0</x:v>
      </x:c>
      <x:c r="K113" s="28" t="n">
        <x:v>0</x:v>
      </x:c>
      <x:c r="L113" s="28" t="n">
        <x:v>0</x:v>
      </x:c>
      <x:c r="M113" s="28" t="n">
        <x:v>0</x:v>
      </x:c>
      <x:c r="N113" s="28" t="n">
        <x:v>0</x:v>
      </x:c>
      <x:c r="O113" s="28" t="n">
        <x:v>0</x:v>
      </x:c>
    </x:row>
    <x:row r="114">
      <x:c r="A114" t="str">
        <x:v>A16</x:v>
      </x:c>
      <x:c r="B114" t="str">
        <x:v>F1606</x:v>
      </x:c>
      <x:c r="C114" t="str">
        <x:v>Humanidades, deporte y formación general</x:v>
      </x:c>
      <x:c r="D114" s="28" t="n">
        <x:v>0</x:v>
      </x:c>
      <x:c r="E114" s="28" t="n">
        <x:v>0</x:v>
      </x:c>
      <x:c r="F114" s="28" t="n">
        <x:v>0</x:v>
      </x:c>
      <x:c r="G114" s="28" t="n">
        <x:v>0</x:v>
      </x:c>
      <x:c r="H114" s="28" t="n">
        <x:v>0</x:v>
      </x:c>
      <x:c r="I114" s="28" t="n">
        <x:v>0</x:v>
      </x:c>
      <x:c r="J114" s="28" t="n">
        <x:v>0</x:v>
      </x:c>
      <x:c r="K114" s="28" t="n">
        <x:v>0</x:v>
      </x:c>
      <x:c r="L114" s="28" t="n">
        <x:v>0</x:v>
      </x:c>
      <x:c r="M114" s="28" t="n">
        <x:v>0</x:v>
      </x:c>
      <x:c r="N114" s="28" t="n">
        <x:v>0</x:v>
      </x:c>
      <x:c r="O114" s="28" t="n">
        <x:v>0</x:v>
      </x:c>
    </x:row>
  </x:sheetData>
  <x:mergeCells>
    <x:mergeCell ref="A1:O1"/>
  </x:mergeCells>
  <x:conditionalFormatting sqref="D4:O114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{CB158C5C-E511-0969-AD06-8B5B7BE3FB59}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B158C5C-E511-0969-AD06-8B5B7BE3FB59}">
            <x14:dataBar gradient="1">
              <x14:cfvo type="min"/>
              <x14:cfvo type="max"/>
              <x14:fillColor rgb="FF156082"/>
            </x14:dataBar>
          </x14:cfRule>
          <xm:sqref>D4:O114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>
      <x:c r="A1" s="5" t="str">
        <x:v>PRIMERA APARICIÓN CURRICULAR POR FAMILIA — avance relativo del programa (%) · Core Bachelor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3">
      <x:c r="A3" s="14" t="str">
        <x:v>ID_Area</x:v>
      </x:c>
      <x:c r="B3" s="14" t="str">
        <x:v>ID_Familia</x:v>
      </x:c>
      <x:c r="C3" s="14" t="str">
        <x:v>Familia</x:v>
      </x:c>
      <x:c r="D3" s="14" t="str">
        <x:v>UPM</x:v>
      </x:c>
      <x:c r="E3" s="14" t="str">
        <x:v>USAL</x:v>
      </x:c>
      <x:c r="F3" s="14" t="str">
        <x:v>UPC</x:v>
      </x:c>
      <x:c r="G3" s="14" t="str">
        <x:v>UCO</x:v>
      </x:c>
      <x:c r="H3" s="14" t="str">
        <x:v>UMH</x:v>
      </x:c>
      <x:c r="I3" s="14" t="str">
        <x:v>IPLEIRIA</x:v>
      </x:c>
      <x:c r="J3" s="14" t="str">
        <x:v>ISA</x:v>
      </x:c>
      <x:c r="K3" s="14" t="str">
        <x:v>ESAV</x:v>
      </x:c>
      <x:c r="L3" s="14" t="str">
        <x:v>UNIBO</x:v>
      </x:c>
      <x:c r="M3" s="14" t="str">
        <x:v>UNIFG</x:v>
      </x:c>
      <x:c r="N3" s="14" t="str">
        <x:v>UNICUSANO</x:v>
      </x:c>
      <x:c r="O3" s="14" t="str">
        <x:v>HOHENHEIM</x:v>
      </x:c>
      <x:c r="P3" s="14" t="str">
        <x:v>TUM</x:v>
      </x:c>
    </x:row>
    <x:row r="4">
      <x:c r="A4" t="str">
        <x:v>A00</x:v>
      </x:c>
      <x:c r="B4" t="str">
        <x:v>F0001</x:v>
      </x:c>
      <x:c r="C4" t="str">
        <x:v>Optatividad / grupo de elección</x:v>
      </x:c>
      <x:c r="D4" s="30"/>
      <x:c r="E4" s="30" t="n">
        <x:v>68.75</x:v>
      </x:c>
      <x:c r="F4" s="30"/>
      <x:c r="G4" s="30" t="n">
        <x:v>68.75</x:v>
      </x:c>
      <x:c r="H4" s="30" t="n">
        <x:v>93.75</x:v>
      </x:c>
      <x:c r="I4" s="30"/>
      <x:c r="J4" s="30"/>
      <x:c r="K4" s="30"/>
      <x:c r="L4" s="30"/>
      <x:c r="M4" s="30" t="n">
        <x:v>8.333333333333332</x:v>
      </x:c>
      <x:c r="N4" s="30" t="n">
        <x:v>91.66666666666666</x:v>
      </x:c>
      <x:c r="O4" s="30"/>
      <x:c r="P4" s="30" t="n">
        <x:v>91.66666666666666</x:v>
      </x:c>
    </x:row>
    <x:row r="5">
      <x:c r="A5" t="str">
        <x:v>A00</x:v>
      </x:c>
      <x:c r="B5" t="str">
        <x:v>F0002</x:v>
      </x:c>
      <x:c r="C5" t="str">
        <x:v>Especialización / parcours no desagregado</x:v>
      </x:c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</x:row>
    <x:row r="6">
      <x:c r="A6" t="str">
        <x:v>A01</x:v>
      </x:c>
      <x:c r="B6" t="str">
        <x:v>F0101</x:v>
      </x:c>
      <x:c r="C6" t="str">
        <x:v>Cálculo y matemática general</x:v>
      </x:c>
      <x:c r="D6" s="30" t="n">
        <x:v>6.25</x:v>
      </x:c>
      <x:c r="E6" s="30" t="n">
        <x:v>6.25</x:v>
      </x:c>
      <x:c r="F6" s="30" t="n">
        <x:v>6.25</x:v>
      </x:c>
      <x:c r="G6" s="30" t="n">
        <x:v>6.25</x:v>
      </x:c>
      <x:c r="H6" s="30" t="n">
        <x:v>6.25</x:v>
      </x:c>
      <x:c r="I6" s="30" t="n">
        <x:v>8.333333333333332</x:v>
      </x:c>
      <x:c r="J6" s="30" t="n">
        <x:v>25</x:v>
      </x:c>
      <x:c r="K6" s="30" t="n">
        <x:v>8.333333333333332</x:v>
      </x:c>
      <x:c r="L6" s="30" t="n">
        <x:v>8.333333333333332</x:v>
      </x:c>
      <x:c r="M6" s="30" t="n">
        <x:v>8.333333333333332</x:v>
      </x:c>
      <x:c r="N6" s="30" t="n">
        <x:v>8.333333333333332</x:v>
      </x:c>
      <x:c r="O6" s="30" t="n">
        <x:v>8.333333333333332</x:v>
      </x:c>
      <x:c r="P6" s="30" t="n">
        <x:v>8.333333333333332</x:v>
      </x:c>
    </x:row>
    <x:row r="7">
      <x:c r="A7" t="str">
        <x:v>A01</x:v>
      </x:c>
      <x:c r="B7" t="str">
        <x:v>F0102</x:v>
      </x:c>
      <x:c r="C7" t="str">
        <x:v>Álgebra lineal y geometría</x:v>
      </x:c>
      <x:c r="D7" s="30"/>
      <x:c r="E7" s="30"/>
      <x:c r="F7" s="30"/>
      <x:c r="G7" s="30"/>
      <x:c r="H7" s="30"/>
      <x:c r="I7" s="30" t="n">
        <x:v>25</x:v>
      </x:c>
      <x:c r="J7" s="30" t="n">
        <x:v>8.333333333333332</x:v>
      </x:c>
      <x:c r="K7" s="30"/>
      <x:c r="L7" s="30"/>
      <x:c r="M7" s="30"/>
      <x:c r="N7" s="30" t="n">
        <x:v>8.333333333333332</x:v>
      </x:c>
      <x:c r="O7" s="30"/>
      <x:c r="P7" s="30"/>
    </x:row>
    <x:row r="8">
      <x:c r="A8" t="str">
        <x:v>A01</x:v>
      </x:c>
      <x:c r="B8" t="str">
        <x:v>F0103</x:v>
      </x:c>
      <x:c r="C8" t="str">
        <x:v>Ecuaciones diferenciales y modelización matemática</x:v>
      </x:c>
      <x:c r="D8" s="30" t="n">
        <x:v>31.25</x:v>
      </x:c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</x:row>
    <x:row r="9">
      <x:c r="A9" t="str">
        <x:v>A01</x:v>
      </x:c>
      <x:c r="B9" t="str">
        <x:v>F0104</x:v>
      </x:c>
      <x:c r="C9" t="str">
        <x:v>Estadística y probabilidad</x:v>
      </x:c>
      <x:c r="D9" s="30" t="n">
        <x:v>43.75</x:v>
      </x:c>
      <x:c r="E9" s="30" t="n">
        <x:v>31.25</x:v>
      </x:c>
      <x:c r="F9" s="30" t="n">
        <x:v>31.25</x:v>
      </x:c>
      <x:c r="G9" s="30" t="n">
        <x:v>31.25</x:v>
      </x:c>
      <x:c r="H9" s="30" t="n">
        <x:v>18.75</x:v>
      </x:c>
      <x:c r="I9" s="30"/>
      <x:c r="J9" s="30" t="n">
        <x:v>41.66666666666667</x:v>
      </x:c>
      <x:c r="K9" s="30"/>
      <x:c r="L9" s="30"/>
      <x:c r="M9" s="30"/>
      <x:c r="N9" s="30" t="n">
        <x:v>8.333333333333332</x:v>
      </x:c>
      <x:c r="O9" s="30" t="n">
        <x:v>25</x:v>
      </x:c>
      <x:c r="P9" s="30" t="n">
        <x:v>41.66666666666667</x:v>
      </x:c>
    </x:row>
    <x:row r="10">
      <x:c r="A10" t="str">
        <x:v>A01</x:v>
      </x:c>
      <x:c r="B10" t="str">
        <x:v>F0105</x:v>
      </x:c>
      <x:c r="C10" t="str">
        <x:v>Diseño experimental y análisis multivariante</x:v>
      </x:c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</x:row>
    <x:row r="11">
      <x:c r="A11" t="str">
        <x:v>A01</x:v>
      </x:c>
      <x:c r="B11" t="str">
        <x:v>F0106</x:v>
      </x:c>
      <x:c r="C11" t="str">
        <x:v>Métodos numéricos y programación</x:v>
      </x:c>
      <x:c r="D11" s="30" t="n">
        <x:v>31.25</x:v>
      </x:c>
      <x:c r="E11" s="30"/>
      <x:c r="F11" s="30"/>
      <x:c r="G11" s="30"/>
      <x:c r="H11" s="30"/>
      <x:c r="I11" s="30"/>
      <x:c r="J11" s="30" t="n">
        <x:v>25</x:v>
      </x:c>
      <x:c r="K11" s="30"/>
      <x:c r="L11" s="30"/>
      <x:c r="M11" s="30"/>
      <x:c r="N11" s="30"/>
      <x:c r="O11" s="30"/>
      <x:c r="P11" s="30"/>
    </x:row>
    <x:row r="12">
      <x:c r="A12" t="str">
        <x:v>A01</x:v>
      </x:c>
      <x:c r="B12" t="str">
        <x:v>F0107</x:v>
      </x:c>
      <x:c r="C12" t="str">
        <x:v>Informática, bases de datos y software</x:v>
      </x:c>
      <x:c r="D12" s="30"/>
      <x:c r="E12" s="30" t="n">
        <x:v>6.25</x:v>
      </x:c>
      <x:c r="F12" s="30"/>
      <x:c r="G12" s="30" t="n">
        <x:v>31.25</x:v>
      </x:c>
      <x:c r="H12" s="30" t="n">
        <x:v>6.25</x:v>
      </x:c>
      <x:c r="I12" s="30"/>
      <x:c r="J12" s="30" t="n">
        <x:v>25</x:v>
      </x:c>
      <x:c r="K12" s="30" t="n">
        <x:v>25</x:v>
      </x:c>
      <x:c r="L12" s="30"/>
      <x:c r="M12" s="30"/>
      <x:c r="N12" s="30" t="n">
        <x:v>8.333333333333332</x:v>
      </x:c>
      <x:c r="O12" s="30" t="n">
        <x:v>58.333333333333336</x:v>
      </x:c>
      <x:c r="P12" s="30"/>
    </x:row>
    <x:row r="13">
      <x:c r="A13" t="str">
        <x:v>A01</x:v>
      </x:c>
      <x:c r="B13" t="str">
        <x:v>F0108</x:v>
      </x:c>
      <x:c r="C13" t="str">
        <x:v>Ciencia de datos, IA y analítica</x:v>
      </x:c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</x:row>
    <x:row r="14">
      <x:c r="A14" t="str">
        <x:v>A02</x:v>
      </x:c>
      <x:c r="B14" t="str">
        <x:v>F0201</x:v>
      </x:c>
      <x:c r="C14" t="str">
        <x:v>Física general y aplicada</x:v>
      </x:c>
      <x:c r="D14" s="30" t="n">
        <x:v>6.25</x:v>
      </x:c>
      <x:c r="E14" s="30" t="n">
        <x:v>6.25</x:v>
      </x:c>
      <x:c r="F14" s="30" t="n">
        <x:v>6.25</x:v>
      </x:c>
      <x:c r="G14" s="30" t="n">
        <x:v>6.25</x:v>
      </x:c>
      <x:c r="H14" s="30" t="n">
        <x:v>6.25</x:v>
      </x:c>
      <x:c r="I14" s="30" t="n">
        <x:v>8.333333333333332</x:v>
      </x:c>
      <x:c r="J14" s="30" t="n">
        <x:v>8.333333333333332</x:v>
      </x:c>
      <x:c r="K14" s="30" t="n">
        <x:v>8.333333333333332</x:v>
      </x:c>
      <x:c r="L14" s="30" t="n">
        <x:v>8.333333333333332</x:v>
      </x:c>
      <x:c r="M14" s="30" t="n">
        <x:v>25</x:v>
      </x:c>
      <x:c r="N14" s="30" t="n">
        <x:v>8.333333333333332</x:v>
      </x:c>
      <x:c r="O14" s="30" t="n">
        <x:v>8.333333333333332</x:v>
      </x:c>
      <x:c r="P14" s="30" t="n">
        <x:v>8.333333333333332</x:v>
      </x:c>
    </x:row>
    <x:row r="15">
      <x:c r="A15" t="str">
        <x:v>A02</x:v>
      </x:c>
      <x:c r="B15" t="str">
        <x:v>F0202</x:v>
      </x:c>
      <x:c r="C15" t="str">
        <x:v>Química general e inorgánica</x:v>
      </x:c>
      <x:c r="D15" s="30" t="n">
        <x:v>6.25</x:v>
      </x:c>
      <x:c r="E15" s="30" t="n">
        <x:v>18.75</x:v>
      </x:c>
      <x:c r="F15" s="30" t="n">
        <x:v>6.25</x:v>
      </x:c>
      <x:c r="G15" s="30" t="n">
        <x:v>6.25</x:v>
      </x:c>
      <x:c r="H15" s="30" t="n">
        <x:v>6.25</x:v>
      </x:c>
      <x:c r="I15" s="30" t="n">
        <x:v>8.333333333333332</x:v>
      </x:c>
      <x:c r="J15" s="30" t="n">
        <x:v>8.333333333333332</x:v>
      </x:c>
      <x:c r="K15" s="30" t="n">
        <x:v>8.333333333333332</x:v>
      </x:c>
      <x:c r="L15" s="30" t="n">
        <x:v>8.333333333333332</x:v>
      </x:c>
      <x:c r="M15" s="30" t="n">
        <x:v>8.333333333333332</x:v>
      </x:c>
      <x:c r="N15" s="30" t="n">
        <x:v>8.333333333333332</x:v>
      </x:c>
      <x:c r="O15" s="30" t="n">
        <x:v>8.333333333333332</x:v>
      </x:c>
      <x:c r="P15" s="30" t="n">
        <x:v>8.333333333333332</x:v>
      </x:c>
    </x:row>
    <x:row r="16">
      <x:c r="A16" t="str">
        <x:v>A02</x:v>
      </x:c>
      <x:c r="B16" t="str">
        <x:v>F0203</x:v>
      </x:c>
      <x:c r="C16" t="str">
        <x:v>Química orgánica</x:v>
      </x:c>
      <x:c r="D16" s="30"/>
      <x:c r="E16" s="30"/>
      <x:c r="F16" s="30"/>
      <x:c r="G16" s="30"/>
      <x:c r="H16" s="30"/>
      <x:c r="I16" s="30"/>
      <x:c r="J16" s="30" t="n">
        <x:v>25</x:v>
      </x:c>
      <x:c r="K16" s="30" t="n">
        <x:v>25</x:v>
      </x:c>
      <x:c r="L16" s="30" t="n">
        <x:v>25</x:v>
      </x:c>
      <x:c r="M16" s="30" t="n">
        <x:v>25</x:v>
      </x:c>
      <x:c r="N16" s="30"/>
      <x:c r="O16" s="30" t="n">
        <x:v>25</x:v>
      </x:c>
      <x:c r="P16" s="30"/>
    </x:row>
    <x:row r="17">
      <x:c r="A17" t="str">
        <x:v>A02</x:v>
      </x:c>
      <x:c r="B17" t="str">
        <x:v>F0204</x:v>
      </x:c>
      <x:c r="C17" t="str">
        <x:v>Fisicoquímica</x:v>
      </x:c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</x:row>
    <x:row r="18">
      <x:c r="A18" t="str">
        <x:v>A02</x:v>
      </x:c>
      <x:c r="B18" t="str">
        <x:v>F0205</x:v>
      </x:c>
      <x:c r="C18" t="str">
        <x:v>Química analítica general</x:v>
      </x:c>
      <x:c r="D18" s="30"/>
      <x:c r="E18" s="30"/>
      <x:c r="F18" s="30"/>
      <x:c r="G18" s="30"/>
      <x:c r="H18" s="30"/>
      <x:c r="I18" s="30"/>
      <x:c r="J18" s="30"/>
      <x:c r="K18" s="30"/>
      <x:c r="L18" s="30"/>
      <x:c r="M18" s="30" t="n">
        <x:v>58.333333333333336</x:v>
      </x:c>
      <x:c r="N18" s="30"/>
      <x:c r="O18" s="30"/>
      <x:c r="P18" s="30"/>
    </x:row>
    <x:row r="19">
      <x:c r="A19" t="str">
        <x:v>A03</x:v>
      </x:c>
      <x:c r="B19" t="str">
        <x:v>F0301</x:v>
      </x:c>
      <x:c r="C19" t="str">
        <x:v>Biología y fisiología</x:v>
      </x:c>
      <x:c r="D19" s="30" t="n">
        <x:v>6.25</x:v>
      </x:c>
      <x:c r="E19" s="30" t="n">
        <x:v>18.75</x:v>
      </x:c>
      <x:c r="F19" s="30" t="n">
        <x:v>6.25</x:v>
      </x:c>
      <x:c r="G19" s="30" t="n">
        <x:v>6.25</x:v>
      </x:c>
      <x:c r="H19" s="30" t="n">
        <x:v>6.25</x:v>
      </x:c>
      <x:c r="I19" s="30"/>
      <x:c r="J19" s="30" t="n">
        <x:v>25</x:v>
      </x:c>
      <x:c r="K19" s="30"/>
      <x:c r="L19" s="30" t="n">
        <x:v>41.66666666666667</x:v>
      </x:c>
      <x:c r="M19" s="30" t="n">
        <x:v>25</x:v>
      </x:c>
      <x:c r="N19" s="30"/>
      <x:c r="O19" s="30" t="n">
        <x:v>8.333333333333332</x:v>
      </x:c>
      <x:c r="P19" s="30" t="n">
        <x:v>8.333333333333332</x:v>
      </x:c>
    </x:row>
    <x:row r="20">
      <x:c r="A20" t="str">
        <x:v>A03</x:v>
      </x:c>
      <x:c r="B20" t="str">
        <x:v>F0302</x:v>
      </x:c>
      <x:c r="C20" t="str">
        <x:v>Bioquímica y metabolismo</x:v>
      </x:c>
      <x:c r="D20" s="30" t="n">
        <x:v>31.25</x:v>
      </x:c>
      <x:c r="E20" s="30"/>
      <x:c r="F20" s="30" t="n">
        <x:v>56.25</x:v>
      </x:c>
      <x:c r="G20" s="30" t="n">
        <x:v>18.75</x:v>
      </x:c>
      <x:c r="H20" s="30"/>
      <x:c r="I20" s="30" t="n">
        <x:v>8.333333333333332</x:v>
      </x:c>
      <x:c r="J20" s="30" t="n">
        <x:v>25</x:v>
      </x:c>
      <x:c r="K20" s="30" t="n">
        <x:v>25</x:v>
      </x:c>
      <x:c r="L20" s="30" t="n">
        <x:v>25</x:v>
      </x:c>
      <x:c r="M20" s="30" t="n">
        <x:v>41.66666666666667</x:v>
      </x:c>
      <x:c r="N20" s="30" t="n">
        <x:v>75</x:v>
      </x:c>
      <x:c r="O20" s="30"/>
      <x:c r="P20" s="30"/>
    </x:row>
    <x:row r="21">
      <x:c r="A21" t="str">
        <x:v>A03</x:v>
      </x:c>
      <x:c r="B21" t="str">
        <x:v>F0303</x:v>
      </x:c>
      <x:c r="C21" t="str">
        <x:v>Microbiología general</x:v>
      </x:c>
      <x:c r="D21" s="30"/>
      <x:c r="E21" s="30" t="n">
        <x:v>56.25</x:v>
      </x:c>
      <x:c r="F21" s="30" t="n">
        <x:v>43.75</x:v>
      </x:c>
      <x:c r="G21" s="30" t="n">
        <x:v>93.75</x:v>
      </x:c>
      <x:c r="H21" s="30"/>
      <x:c r="I21" s="30" t="n">
        <x:v>25</x:v>
      </x:c>
      <x:c r="J21" s="30" t="n">
        <x:v>8.333333333333332</x:v>
      </x:c>
      <x:c r="K21" s="30" t="n">
        <x:v>8.333333333333332</x:v>
      </x:c>
      <x:c r="L21" s="30" t="n">
        <x:v>91.66666666666666</x:v>
      </x:c>
      <x:c r="M21" s="30" t="n">
        <x:v>41.66666666666667</x:v>
      </x:c>
      <x:c r="N21" s="30"/>
      <x:c r="O21" s="30" t="n">
        <x:v>41.66666666666667</x:v>
      </x:c>
      <x:c r="P21" s="30" t="n">
        <x:v>41.66666666666667</x:v>
      </x:c>
    </x:row>
    <x:row r="22">
      <x:c r="A22" t="str">
        <x:v>A03</x:v>
      </x:c>
      <x:c r="B22" t="str">
        <x:v>F0304</x:v>
      </x:c>
      <x:c r="C22" t="str">
        <x:v>Microbiología alimentaria e industrial</x:v>
      </x:c>
      <x:c r="D22" s="30" t="n">
        <x:v>43.75</x:v>
      </x:c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 t="n">
        <x:v>58.333333333333336</x:v>
      </x:c>
      <x:c r="P22" s="30" t="n">
        <x:v>75</x:v>
      </x:c>
    </x:row>
    <x:row r="23">
      <x:c r="A23" t="str">
        <x:v>A03</x:v>
      </x:c>
      <x:c r="B23" t="str">
        <x:v>F0305</x:v>
      </x:c>
      <x:c r="C23" t="str">
        <x:v>Biotecnología y biología molecular</x:v>
      </x:c>
      <x:c r="D23" s="30"/>
      <x:c r="E23" s="30"/>
      <x:c r="F23" s="30"/>
      <x:c r="G23" s="30"/>
      <x:c r="H23" s="30"/>
      <x:c r="I23" s="30"/>
      <x:c r="J23" s="30" t="n">
        <x:v>58.333333333333336</x:v>
      </x:c>
      <x:c r="K23" s="30" t="n">
        <x:v>58.333333333333336</x:v>
      </x:c>
      <x:c r="L23" s="30"/>
      <x:c r="M23" s="30"/>
      <x:c r="N23" s="30"/>
      <x:c r="O23" s="30" t="n">
        <x:v>8.333333333333332</x:v>
      </x:c>
      <x:c r="P23" s="30"/>
    </x:row>
    <x:row r="24">
      <x:c r="A24" t="str">
        <x:v>A03</x:v>
      </x:c>
      <x:c r="B24" t="str">
        <x:v>F0306</x:v>
      </x:c>
      <x:c r="C24" t="str">
        <x:v>Bioprocesos y bioproducción</x:v>
      </x:c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</x:row>
    <x:row r="25">
      <x:c r="A25" t="str">
        <x:v>A04</x:v>
      </x:c>
      <x:c r="B25" t="str">
        <x:v>F0401</x:v>
      </x:c>
      <x:c r="C25" t="str">
        <x:v>Termodinámica</x:v>
      </x:c>
      <x:c r="D25" s="30"/>
      <x:c r="E25" s="30"/>
      <x:c r="F25" s="30"/>
      <x:c r="G25" s="30"/>
      <x:c r="H25" s="30"/>
      <x:c r="I25" s="30"/>
      <x:c r="J25" s="30" t="n">
        <x:v>58.333333333333336</x:v>
      </x:c>
      <x:c r="K25" s="30"/>
      <x:c r="L25" s="30"/>
      <x:c r="M25" s="30"/>
      <x:c r="N25" s="30" t="n">
        <x:v>41.66666666666667</x:v>
      </x:c>
      <x:c r="O25" s="30"/>
      <x:c r="P25" s="30" t="n">
        <x:v>75</x:v>
      </x:c>
    </x:row>
    <x:row r="26">
      <x:c r="A26" t="str">
        <x:v>A04</x:v>
      </x:c>
      <x:c r="B26" t="str">
        <x:v>F0402</x:v>
      </x:c>
      <x:c r="C26" t="str">
        <x:v>Mecánica de fluidos e hidráulica</x:v>
      </x:c>
      <x:c r="D26" s="30"/>
      <x:c r="E26" s="30" t="n">
        <x:v>56.25</x:v>
      </x:c>
      <x:c r="F26" s="30" t="n">
        <x:v>31.25</x:v>
      </x:c>
      <x:c r="G26" s="30" t="n">
        <x:v>31.25</x:v>
      </x:c>
      <x:c r="H26" s="30" t="n">
        <x:v>43.75</x:v>
      </x:c>
      <x:c r="I26" s="30"/>
      <x:c r="J26" s="30"/>
      <x:c r="K26" s="30"/>
      <x:c r="L26" s="30"/>
      <x:c r="M26" s="30"/>
      <x:c r="N26" s="30"/>
      <x:c r="O26" s="30"/>
      <x:c r="P26" s="30" t="n">
        <x:v>58.333333333333336</x:v>
      </x:c>
    </x:row>
    <x:row r="27">
      <x:c r="A27" t="str">
        <x:v>A04</x:v>
      </x:c>
      <x:c r="B27" t="str">
        <x:v>F0403</x:v>
      </x:c>
      <x:c r="C27" t="str">
        <x:v>Transferencia de calor</x:v>
      </x:c>
      <x:c r="D27" s="30" t="n">
        <x:v>68.75</x:v>
      </x:c>
      <x:c r="E27" s="30"/>
      <x:c r="F27" s="30"/>
      <x:c r="G27" s="30"/>
      <x:c r="H27" s="30"/>
      <x:c r="I27" s="30"/>
      <x:c r="J27" s="30" t="n">
        <x:v>25</x:v>
      </x:c>
      <x:c r="K27" s="30" t="n">
        <x:v>25</x:v>
      </x:c>
      <x:c r="L27" s="30"/>
      <x:c r="M27" s="30"/>
      <x:c r="N27" s="30"/>
      <x:c r="O27" s="30"/>
      <x:c r="P27" s="30"/>
    </x:row>
    <x:row r="28">
      <x:c r="A28" t="str">
        <x:v>A04</x:v>
      </x:c>
      <x:c r="B28" t="str">
        <x:v>F0404</x:v>
      </x:c>
      <x:c r="C28" t="str">
        <x:v>Transferencia de masa</x:v>
      </x:c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</x:row>
    <x:row r="29">
      <x:c r="A29" t="str">
        <x:v>A04</x:v>
      </x:c>
      <x:c r="B29" t="str">
        <x:v>F0405</x:v>
      </x:c>
      <x:c r="C29" t="str">
        <x:v>Mecánica, resistencia y materiales</x:v>
      </x:c>
      <x:c r="D29" s="30" t="n">
        <x:v>43.75</x:v>
      </x:c>
      <x:c r="E29" s="30"/>
      <x:c r="F29" s="30"/>
      <x:c r="G29" s="30" t="n">
        <x:v>43.75</x:v>
      </x:c>
      <x:c r="H29" s="30"/>
      <x:c r="I29" s="30"/>
      <x:c r="J29" s="30"/>
      <x:c r="K29" s="30"/>
      <x:c r="L29" s="30"/>
      <x:c r="M29" s="30"/>
      <x:c r="N29" s="30" t="n">
        <x:v>58.333333333333336</x:v>
      </x:c>
      <x:c r="O29" s="30"/>
      <x:c r="P29" s="30" t="n">
        <x:v>25</x:v>
      </x:c>
    </x:row>
    <x:row r="30">
      <x:c r="A30" t="str">
        <x:v>A04</x:v>
      </x:c>
      <x:c r="B30" t="str">
        <x:v>F0406</x:v>
      </x:c>
      <x:c r="C30" t="str">
        <x:v>Estructuras y construcción básica</x:v>
      </x:c>
      <x:c r="D30" s="30" t="n">
        <x:v>56.25</x:v>
      </x:c>
      <x:c r="E30" s="30" t="n">
        <x:v>56.25</x:v>
      </x:c>
      <x:c r="F30" s="30" t="n">
        <x:v>68.75</x:v>
      </x:c>
      <x:c r="G30" s="30"/>
      <x:c r="H30" s="30" t="n">
        <x:v>31.25</x:v>
      </x:c>
      <x:c r="I30" s="30"/>
      <x:c r="J30" s="30"/>
      <x:c r="K30" s="30"/>
      <x:c r="L30" s="30"/>
      <x:c r="M30" s="30"/>
      <x:c r="N30" s="30"/>
      <x:c r="O30" s="30"/>
      <x:c r="P30" s="30"/>
    </x:row>
    <x:row r="31">
      <x:c r="A31" t="str">
        <x:v>A04</x:v>
      </x:c>
      <x:c r="B31" t="str">
        <x:v>F0407</x:v>
      </x:c>
      <x:c r="C31" t="str">
        <x:v>Electrotecnia y electrónica</x:v>
      </x:c>
      <x:c r="D31" s="30" t="n">
        <x:v>31.25</x:v>
      </x:c>
      <x:c r="E31" s="30" t="n">
        <x:v>43.75</x:v>
      </x:c>
      <x:c r="F31" s="30"/>
      <x:c r="G31" s="30" t="n">
        <x:v>43.75</x:v>
      </x:c>
      <x:c r="H31" s="30" t="n">
        <x:v>43.75</x:v>
      </x:c>
      <x:c r="I31" s="30"/>
      <x:c r="J31" s="30"/>
      <x:c r="K31" s="30"/>
      <x:c r="L31" s="30"/>
      <x:c r="M31" s="30"/>
      <x:c r="N31" s="30"/>
      <x:c r="O31" s="30"/>
      <x:c r="P31" s="30" t="n">
        <x:v>75</x:v>
      </x:c>
    </x:row>
    <x:row r="32">
      <x:c r="A32" t="str">
        <x:v>A05</x:v>
      </x:c>
      <x:c r="B32" t="str">
        <x:v>F0501</x:v>
      </x:c>
      <x:c r="C32" t="str">
        <x:v>Balances de materia y energía</x:v>
      </x:c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</x:row>
    <x:row r="33">
      <x:c r="A33" t="str">
        <x:v>A05</x:v>
      </x:c>
      <x:c r="B33" t="str">
        <x:v>F0502</x:v>
      </x:c>
      <x:c r="C33" t="str">
        <x:v>Operaciones unitarias generales</x:v>
      </x:c>
      <x:c r="D33" s="30" t="n">
        <x:v>56.25</x:v>
      </x:c>
      <x:c r="E33" s="30" t="n">
        <x:v>31.25</x:v>
      </x:c>
      <x:c r="F33" s="30" t="n">
        <x:v>56.25</x:v>
      </x:c>
      <x:c r="G33" s="30" t="n">
        <x:v>56.25</x:v>
      </x:c>
      <x:c r="H33" s="30" t="n">
        <x:v>68.75</x:v>
      </x:c>
      <x:c r="I33" s="30" t="n">
        <x:v>8.333333333333332</x:v>
      </x:c>
      <x:c r="J33" s="30"/>
      <x:c r="K33" s="30" t="n">
        <x:v>41.66666666666667</x:v>
      </x:c>
      <x:c r="L33" s="30" t="n">
        <x:v>41.66666666666667</x:v>
      </x:c>
      <x:c r="M33" s="30" t="n">
        <x:v>58.333333333333336</x:v>
      </x:c>
      <x:c r="N33" s="30" t="n">
        <x:v>58.333333333333336</x:v>
      </x:c>
      <x:c r="O33" s="30" t="n">
        <x:v>58.333333333333336</x:v>
      </x:c>
      <x:c r="P33" s="30"/>
    </x:row>
    <x:row r="34">
      <x:c r="A34" t="str">
        <x:v>A05</x:v>
      </x:c>
      <x:c r="B34" t="str">
        <x:v>F0503</x:v>
      </x:c>
      <x:c r="C34" t="str">
        <x:v>Tratamientos térmicos y esterilización</x:v>
      </x:c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</x:row>
    <x:row r="35">
      <x:c r="A35" t="str">
        <x:v>A05</x:v>
      </x:c>
      <x:c r="B35" t="str">
        <x:v>F0504</x:v>
      </x:c>
      <x:c r="C35" t="str">
        <x:v>Refrigeración, congelación y cadena de frío</x:v>
      </x:c>
      <x:c r="D35" s="30" t="n">
        <x:v>68.75</x:v>
      </x:c>
      <x:c r="E35" s="30"/>
      <x:c r="F35" s="30"/>
      <x:c r="G35" s="30"/>
      <x:c r="H35" s="30" t="n">
        <x:v>93.75</x:v>
      </x:c>
      <x:c r="I35" s="30"/>
      <x:c r="J35" s="30"/>
      <x:c r="K35" s="30"/>
      <x:c r="L35" s="30"/>
      <x:c r="M35" s="30"/>
      <x:c r="N35" s="30"/>
      <x:c r="O35" s="30"/>
      <x:c r="P35" s="30"/>
    </x:row>
    <x:row r="36">
      <x:c r="A36" t="str">
        <x:v>A05</x:v>
      </x:c>
      <x:c r="B36" t="str">
        <x:v>F0505</x:v>
      </x:c>
      <x:c r="C36" t="str">
        <x:v>Secado y deshidratación</x:v>
      </x:c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</x:row>
    <x:row r="37">
      <x:c r="A37" t="str">
        <x:v>A05</x:v>
      </x:c>
      <x:c r="B37" t="str">
        <x:v>F0506</x:v>
      </x:c>
      <x:c r="C37" t="str">
        <x:v>Evaporación y concentración</x:v>
      </x:c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</x:row>
    <x:row r="38">
      <x:c r="A38" t="str">
        <x:v>A05</x:v>
      </x:c>
      <x:c r="B38" t="str">
        <x:v>F0507</x:v>
      </x:c>
      <x:c r="C38" t="str">
        <x:v>Destilación, extracción y absorción</x:v>
      </x:c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</x:row>
    <x:row r="39">
      <x:c r="A39" t="str">
        <x:v>A05</x:v>
      </x:c>
      <x:c r="B39" t="str">
        <x:v>F0508</x:v>
      </x:c>
      <x:c r="C39" t="str">
        <x:v>Membranas y separaciones avanzadas</x:v>
      </x:c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</x:row>
    <x:row r="40">
      <x:c r="A40" t="str">
        <x:v>A05</x:v>
      </x:c>
      <x:c r="B40" t="str">
        <x:v>F0509</x:v>
      </x:c>
      <x:c r="C40" t="str">
        <x:v>Ingeniería de reactores y cinética</x:v>
      </x:c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</x:row>
    <x:row r="41">
      <x:c r="A41" t="str">
        <x:v>A05</x:v>
      </x:c>
      <x:c r="B41" t="str">
        <x:v>F0510</x:v>
      </x:c>
      <x:c r="C41" t="str">
        <x:v>Modelización, simulación y optimización de procesos</x:v>
      </x:c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</x:row>
    <x:row r="42">
      <x:c r="A42" t="str">
        <x:v>A06</x:v>
      </x:c>
      <x:c r="B42" t="str">
        <x:v>F0601</x:v>
      </x:c>
      <x:c r="C42" t="str">
        <x:v>Química y bioquímica de alimentos</x:v>
      </x:c>
      <x:c r="D42" s="30"/>
      <x:c r="E42" s="30" t="n">
        <x:v>43.75</x:v>
      </x:c>
      <x:c r="F42" s="30"/>
      <x:c r="G42" s="30"/>
      <x:c r="H42" s="30"/>
      <x:c r="I42" s="30" t="n">
        <x:v>25</x:v>
      </x:c>
      <x:c r="J42" s="30" t="n">
        <x:v>41.66666666666667</x:v>
      </x:c>
      <x:c r="K42" s="30" t="n">
        <x:v>41.66666666666667</x:v>
      </x:c>
      <x:c r="L42" s="30" t="n">
        <x:v>25</x:v>
      </x:c>
      <x:c r="M42" s="30"/>
      <x:c r="N42" s="30"/>
      <x:c r="O42" s="30" t="n">
        <x:v>41.66666666666667</x:v>
      </x:c>
      <x:c r="P42" s="30" t="n">
        <x:v>41.66666666666667</x:v>
      </x:c>
    </x:row>
    <x:row r="43">
      <x:c r="A43" t="str">
        <x:v>A06</x:v>
      </x:c>
      <x:c r="B43" t="str">
        <x:v>F0602</x:v>
      </x:c>
      <x:c r="C43" t="str">
        <x:v>Física, reología y estructura de alimentos</x:v>
      </x:c>
      <x:c r="D43" s="30"/>
      <x:c r="E43" s="30"/>
      <x:c r="F43" s="30"/>
      <x:c r="G43" s="30"/>
      <x:c r="H43" s="30"/>
      <x:c r="I43" s="30" t="n">
        <x:v>25</x:v>
      </x:c>
      <x:c r="J43" s="30" t="n">
        <x:v>58.333333333333336</x:v>
      </x:c>
      <x:c r="K43" s="30" t="n">
        <x:v>58.333333333333336</x:v>
      </x:c>
      <x:c r="L43" s="30"/>
      <x:c r="M43" s="30"/>
      <x:c r="N43" s="30"/>
      <x:c r="O43" s="30" t="n">
        <x:v>58.333333333333336</x:v>
      </x:c>
      <x:c r="P43" s="30"/>
    </x:row>
    <x:row r="44">
      <x:c r="A44" t="str">
        <x:v>A06</x:v>
      </x:c>
      <x:c r="B44" t="str">
        <x:v>F0603</x:v>
      </x:c>
      <x:c r="C44" t="str">
        <x:v>Ingredientes y funcionalidad tecnológica</x:v>
      </x:c>
      <x:c r="D44" s="30"/>
      <x:c r="E44" s="30"/>
      <x:c r="F44" s="30"/>
      <x:c r="G44" s="30"/>
      <x:c r="H44" s="30"/>
      <x:c r="I44" s="30"/>
      <x:c r="J44" s="30"/>
      <x:c r="K44" s="30" t="n">
        <x:v>41.66666666666667</x:v>
      </x:c>
      <x:c r="L44" s="30" t="n">
        <x:v>41.66666666666667</x:v>
      </x:c>
      <x:c r="M44" s="30"/>
      <x:c r="N44" s="30"/>
      <x:c r="O44" s="30"/>
      <x:c r="P44" s="30"/>
    </x:row>
    <x:row r="45">
      <x:c r="A45" t="str">
        <x:v>A06</x:v>
      </x:c>
      <x:c r="B45" t="str">
        <x:v>F0604</x:v>
      </x:c>
      <x:c r="C45" t="str">
        <x:v>Tecnología / procesamiento general de alimentos</x:v>
      </x:c>
      <x:c r="D45" s="30"/>
      <x:c r="E45" s="30" t="n">
        <x:v>56.25</x:v>
      </x:c>
      <x:c r="F45" s="30" t="n">
        <x:v>56.25</x:v>
      </x:c>
      <x:c r="G45" s="30"/>
      <x:c r="H45" s="30"/>
      <x:c r="I45" s="30" t="n">
        <x:v>41.66666666666667</x:v>
      </x:c>
      <x:c r="J45" s="30" t="n">
        <x:v>8.333333333333332</x:v>
      </x:c>
      <x:c r="K45" s="30"/>
      <x:c r="L45" s="30" t="n">
        <x:v>75</x:v>
      </x:c>
      <x:c r="M45" s="30" t="n">
        <x:v>75</x:v>
      </x:c>
      <x:c r="N45" s="30"/>
      <x:c r="O45" s="30" t="n">
        <x:v>25</x:v>
      </x:c>
      <x:c r="P45" s="30" t="n">
        <x:v>8.333333333333332</x:v>
      </x:c>
    </x:row>
    <x:row r="46">
      <x:c r="A46" t="str">
        <x:v>A06</x:v>
      </x:c>
      <x:c r="B46" t="str">
        <x:v>F0605</x:v>
      </x:c>
      <x:c r="C46" t="str">
        <x:v>Conservación de alimentos y tecnologías emergentes</x:v>
      </x:c>
      <x:c r="D46" s="30" t="n">
        <x:v>68.75</x:v>
      </x:c>
      <x:c r="E46" s="30" t="n">
        <x:v>68.75</x:v>
      </x:c>
      <x:c r="F46" s="30"/>
      <x:c r="G46" s="30"/>
      <x:c r="H46" s="30" t="n">
        <x:v>81.25</x:v>
      </x:c>
      <x:c r="I46" s="30" t="n">
        <x:v>91.66666666666666</x:v>
      </x:c>
      <x:c r="J46" s="30"/>
      <x:c r="K46" s="30" t="n">
        <x:v>25</x:v>
      </x:c>
      <x:c r="L46" s="30"/>
      <x:c r="M46" s="30"/>
      <x:c r="N46" s="30"/>
      <x:c r="O46" s="30"/>
      <x:c r="P46" s="30"/>
    </x:row>
    <x:row r="47">
      <x:c r="A47" t="str">
        <x:v>A06</x:v>
      </x:c>
      <x:c r="B47" t="str">
        <x:v>F0606</x:v>
      </x:c>
      <x:c r="C47" t="str">
        <x:v>Formulación y diseño tecnológico del alimento</x:v>
      </x:c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 t="n">
        <x:v>58.333333333333336</x:v>
      </x:c>
      <x:c r="O47" s="30"/>
      <x:c r="P47" s="30"/>
    </x:row>
    <x:row r="48">
      <x:c r="A48" t="str">
        <x:v>A07</x:v>
      </x:c>
      <x:c r="B48" t="str">
        <x:v>F0701</x:v>
      </x:c>
      <x:c r="C48" t="str">
        <x:v>Tecnología de lácteos</x:v>
      </x:c>
      <x:c r="D48" s="30" t="n">
        <x:v>81.25</x:v>
      </x:c>
      <x:c r="E48" s="30"/>
      <x:c r="F48" s="30"/>
      <x:c r="G48" s="30"/>
      <x:c r="H48" s="30"/>
      <x:c r="I48" s="30" t="n">
        <x:v>41.66666666666667</x:v>
      </x:c>
      <x:c r="J48" s="30"/>
      <x:c r="K48" s="30" t="n">
        <x:v>58.333333333333336</x:v>
      </x:c>
      <x:c r="L48" s="30"/>
      <x:c r="M48" s="30"/>
      <x:c r="N48" s="30"/>
      <x:c r="O48" s="30" t="n">
        <x:v>75</x:v>
      </x:c>
      <x:c r="P48" s="30"/>
    </x:row>
    <x:row r="49">
      <x:c r="A49" t="str">
        <x:v>A07</x:v>
      </x:c>
      <x:c r="B49" t="str">
        <x:v>F0702</x:v>
      </x:c>
      <x:c r="C49" t="str">
        <x:v>Tecnología de carnes, aves y pescado</x:v>
      </x:c>
      <x:c r="D49" s="30" t="n">
        <x:v>81.25</x:v>
      </x:c>
      <x:c r="E49" s="30" t="n">
        <x:v>81.25</x:v>
      </x:c>
      <x:c r="F49" s="30" t="n">
        <x:v>68.75</x:v>
      </x:c>
      <x:c r="G49" s="30" t="n">
        <x:v>81.25</x:v>
      </x:c>
      <x:c r="H49" s="30"/>
      <x:c r="I49" s="30" t="n">
        <x:v>75</x:v>
      </x:c>
      <x:c r="J49" s="30"/>
      <x:c r="K49" s="30" t="n">
        <x:v>75</x:v>
      </x:c>
      <x:c r="L49" s="30"/>
      <x:c r="M49" s="30"/>
      <x:c r="N49" s="30"/>
      <x:c r="O49" s="30"/>
      <x:c r="P49" s="30"/>
    </x:row>
    <x:row r="50">
      <x:c r="A50" t="str">
        <x:v>A07</x:v>
      </x:c>
      <x:c r="B50" t="str">
        <x:v>F0703</x:v>
      </x:c>
      <x:c r="C50" t="str">
        <x:v>Tecnología de cereales y derivados</x:v>
      </x:c>
      <x:c r="D50" s="30" t="n">
        <x:v>81.25</x:v>
      </x:c>
      <x:c r="E50" s="30" t="n">
        <x:v>68.75</x:v>
      </x:c>
      <x:c r="F50" s="30"/>
      <x:c r="G50" s="30"/>
      <x:c r="H50" s="30"/>
      <x:c r="I50" s="30"/>
      <x:c r="J50" s="30"/>
      <x:c r="K50" s="30" t="n">
        <x:v>75</x:v>
      </x:c>
      <x:c r="L50" s="30" t="n">
        <x:v>58.333333333333336</x:v>
      </x:c>
      <x:c r="M50" s="30"/>
      <x:c r="N50" s="30"/>
      <x:c r="O50" s="30" t="n">
        <x:v>75</x:v>
      </x:c>
      <x:c r="P50" s="30"/>
    </x:row>
    <x:row r="51">
      <x:c r="A51" t="str">
        <x:v>A07</x:v>
      </x:c>
      <x:c r="B51" t="str">
        <x:v>F0704</x:v>
      </x:c>
      <x:c r="C51" t="str">
        <x:v>Tecnología de frutas, hortalizas y zumos</x:v>
      </x:c>
      <x:c r="D51" s="30" t="n">
        <x:v>93.75</x:v>
      </x:c>
      <x:c r="E51" s="30"/>
      <x:c r="F51" s="30"/>
      <x:c r="G51" s="30" t="n">
        <x:v>81.25</x:v>
      </x:c>
      <x:c r="H51" s="30" t="n">
        <x:v>56.25</x:v>
      </x:c>
      <x:c r="I51" s="30" t="n">
        <x:v>58.333333333333336</x:v>
      </x:c>
      <x:c r="J51" s="30"/>
      <x:c r="K51" s="30" t="n">
        <x:v>58.333333333333336</x:v>
      </x:c>
      <x:c r="L51" s="30"/>
      <x:c r="M51" s="30"/>
      <x:c r="N51" s="30"/>
      <x:c r="O51" s="30"/>
      <x:c r="P51" s="30"/>
    </x:row>
    <x:row r="52">
      <x:c r="A52" t="str">
        <x:v>A07</x:v>
      </x:c>
      <x:c r="B52" t="str">
        <x:v>F0705</x:v>
      </x:c>
      <x:c r="C52" t="str">
        <x:v>Tecnología de aceites y grasas</x:v>
      </x:c>
      <x:c r="D52" s="30" t="n">
        <x:v>93.75</x:v>
      </x:c>
      <x:c r="E52" s="30"/>
      <x:c r="F52" s="30"/>
      <x:c r="G52" s="30" t="n">
        <x:v>81.25</x:v>
      </x:c>
      <x:c r="H52" s="30"/>
      <x:c r="I52" s="30" t="n">
        <x:v>75</x:v>
      </x:c>
      <x:c r="J52" s="30"/>
      <x:c r="K52" s="30" t="n">
        <x:v>75</x:v>
      </x:c>
      <x:c r="L52" s="30"/>
      <x:c r="M52" s="30"/>
      <x:c r="N52" s="30"/>
      <x:c r="O52" s="30"/>
      <x:c r="P52" s="30"/>
    </x:row>
    <x:row r="53">
      <x:c r="A53" t="str">
        <x:v>A07</x:v>
      </x:c>
      <x:c r="B53" t="str">
        <x:v>F0706</x:v>
      </x:c>
      <x:c r="C53" t="str">
        <x:v>Tecnología de vino, cerveza y bebidas alcohólicas</x:v>
      </x:c>
      <x:c r="D53" s="30" t="n">
        <x:v>81.25</x:v>
      </x:c>
      <x:c r="E53" s="30" t="n">
        <x:v>81.25</x:v>
      </x:c>
      <x:c r="F53" s="30"/>
      <x:c r="G53" s="30" t="n">
        <x:v>81.25</x:v>
      </x:c>
      <x:c r="H53" s="30"/>
      <x:c r="I53" s="30" t="n">
        <x:v>41.66666666666667</x:v>
      </x:c>
      <x:c r="J53" s="30"/>
      <x:c r="K53" s="30" t="n">
        <x:v>75</x:v>
      </x:c>
      <x:c r="L53" s="30" t="n">
        <x:v>8.333333333333332</x:v>
      </x:c>
      <x:c r="M53" s="30"/>
      <x:c r="N53" s="30"/>
      <x:c r="O53" s="30"/>
      <x:c r="P53" s="30"/>
    </x:row>
    <x:row r="54">
      <x:c r="A54" t="str">
        <x:v>A07</x:v>
      </x:c>
      <x:c r="B54" t="str">
        <x:v>F0707</x:v>
      </x:c>
      <x:c r="C54" t="str">
        <x:v>Fermentaciones y productos fermentados</x:v>
      </x:c>
      <x:c r="D54" s="30"/>
      <x:c r="E54" s="30"/>
      <x:c r="F54" s="30" t="n">
        <x:v>56.25</x:v>
      </x:c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</x:row>
    <x:row r="55">
      <x:c r="A55" t="str">
        <x:v>A07</x:v>
      </x:c>
      <x:c r="B55" t="str">
        <x:v>F0708</x:v>
      </x:c>
      <x:c r="C55" t="str">
        <x:v>Tecnología de recursos marinos</x:v>
      </x:c>
      <x:c r="D55" s="30"/>
      <x:c r="E55" s="30"/>
      <x:c r="F55" s="30"/>
      <x:c r="G55" s="30"/>
      <x:c r="H55" s="30"/>
      <x:c r="I55" s="30" t="n">
        <x:v>58.333333333333336</x:v>
      </x:c>
      <x:c r="J55" s="30"/>
      <x:c r="K55" s="30"/>
      <x:c r="L55" s="30"/>
      <x:c r="M55" s="30"/>
      <x:c r="N55" s="30"/>
      <x:c r="O55" s="30"/>
      <x:c r="P55" s="30"/>
    </x:row>
    <x:row r="56">
      <x:c r="A56" t="str">
        <x:v>A07</x:v>
      </x:c>
      <x:c r="B56" t="str">
        <x:v>F0709</x:v>
      </x:c>
      <x:c r="C56" t="str">
        <x:v>Alimentos alternativos y proteínas emergentes</x:v>
      </x:c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 t="n">
        <x:v>75</x:v>
      </x:c>
      <x:c r="P56" s="30"/>
    </x:row>
    <x:row r="57">
      <x:c r="A57" t="str">
        <x:v>A07</x:v>
      </x:c>
      <x:c r="B57" t="str">
        <x:v>F0710</x:v>
      </x:c>
      <x:c r="C57" t="str">
        <x:v>Otras industrias alimentarias y extractivas</x:v>
      </x:c>
      <x:c r="D57" s="30"/>
      <x:c r="E57" s="30"/>
      <x:c r="F57" s="30" t="n">
        <x:v>56.25</x:v>
      </x:c>
      <x:c r="G57" s="30"/>
      <x:c r="H57" s="30" t="n">
        <x:v>68.75</x:v>
      </x:c>
      <x:c r="I57" s="30"/>
      <x:c r="J57" s="30"/>
      <x:c r="K57" s="30"/>
      <x:c r="L57" s="30"/>
      <x:c r="M57" s="30"/>
      <x:c r="N57" s="30"/>
      <x:c r="O57" s="30" t="n">
        <x:v>58.333333333333336</x:v>
      </x:c>
      <x:c r="P57" s="30"/>
    </x:row>
    <x:row r="58">
      <x:c r="A58" t="str">
        <x:v>A08</x:v>
      </x:c>
      <x:c r="B58" t="str">
        <x:v>F0801</x:v>
      </x:c>
      <x:c r="C58" t="str">
        <x:v>Análisis químico, físico e instrumental de alimentos</x:v>
      </x:c>
      <x:c r="D58" s="30" t="n">
        <x:v>68.75</x:v>
      </x:c>
      <x:c r="E58" s="30"/>
      <x:c r="F58" s="30" t="n">
        <x:v>43.75</x:v>
      </x:c>
      <x:c r="G58" s="30"/>
      <x:c r="H58" s="30" t="n">
        <x:v>81.25</x:v>
      </x:c>
      <x:c r="I58" s="30"/>
      <x:c r="J58" s="30"/>
      <x:c r="K58" s="30" t="n">
        <x:v>41.66666666666667</x:v>
      </x:c>
      <x:c r="L58" s="30" t="n">
        <x:v>91.66666666666666</x:v>
      </x:c>
      <x:c r="M58" s="30" t="n">
        <x:v>75</x:v>
      </x:c>
      <x:c r="N58" s="30"/>
      <x:c r="O58" s="30"/>
      <x:c r="P58" s="30" t="n">
        <x:v>75</x:v>
      </x:c>
    </x:row>
    <x:row r="59">
      <x:c r="A59" t="str">
        <x:v>A08</x:v>
      </x:c>
      <x:c r="B59" t="str">
        <x:v>F0802</x:v>
      </x:c>
      <x:c r="C59" t="str">
        <x:v>Análisis sensorial y evaluación organoléptica</x:v>
      </x:c>
      <x:c r="D59" s="30"/>
      <x:c r="E59" s="30" t="n">
        <x:v>68.75</x:v>
      </x:c>
      <x:c r="F59" s="30" t="n">
        <x:v>93.75</x:v>
      </x:c>
      <x:c r="G59" s="30"/>
      <x:c r="H59" s="30"/>
      <x:c r="I59" s="30" t="n">
        <x:v>25</x:v>
      </x:c>
      <x:c r="J59" s="30"/>
      <x:c r="K59" s="30" t="n">
        <x:v>41.66666666666667</x:v>
      </x:c>
      <x:c r="L59" s="30"/>
      <x:c r="M59" s="30"/>
      <x:c r="N59" s="30"/>
      <x:c r="O59" s="30" t="n">
        <x:v>75</x:v>
      </x:c>
      <x:c r="P59" s="30"/>
    </x:row>
    <x:row r="60">
      <x:c r="A60" t="str">
        <x:v>A08</x:v>
      </x:c>
      <x:c r="B60" t="str">
        <x:v>F0803</x:v>
      </x:c>
      <x:c r="C60" t="str">
        <x:v>Gestión y aseguramiento de la calidad</x:v>
      </x:c>
      <x:c r="D60" s="30" t="n">
        <x:v>68.75</x:v>
      </x:c>
      <x:c r="E60" s="30" t="n">
        <x:v>93.75</x:v>
      </x:c>
      <x:c r="F60" s="30" t="n">
        <x:v>81.25</x:v>
      </x:c>
      <x:c r="G60" s="30" t="n">
        <x:v>93.75</x:v>
      </x:c>
      <x:c r="H60" s="30" t="n">
        <x:v>81.25</x:v>
      </x:c>
      <x:c r="I60" s="30" t="n">
        <x:v>41.66666666666667</x:v>
      </x:c>
      <x:c r="J60" s="30" t="n">
        <x:v>91.66666666666666</x:v>
      </x:c>
      <x:c r="K60" s="30" t="n">
        <x:v>41.66666666666667</x:v>
      </x:c>
      <x:c r="L60" s="30" t="n">
        <x:v>8.333333333333332</x:v>
      </x:c>
      <x:c r="M60" s="30" t="n">
        <x:v>75</x:v>
      </x:c>
      <x:c r="N60" s="30"/>
      <x:c r="O60" s="30" t="n">
        <x:v>75</x:v>
      </x:c>
      <x:c r="P60" s="30"/>
    </x:row>
    <x:row r="61">
      <x:c r="A61" t="str">
        <x:v>A08</x:v>
      </x:c>
      <x:c r="B61" t="str">
        <x:v>F0804</x:v>
      </x:c>
      <x:c r="C61" t="str">
        <x:v>Inocuidad y seguridad alimentaria / HACCP</x:v>
      </x:c>
      <x:c r="D61" s="30"/>
      <x:c r="E61" s="30" t="n">
        <x:v>81.25</x:v>
      </x:c>
      <x:c r="F61" s="30" t="n">
        <x:v>81.25</x:v>
      </x:c>
      <x:c r="G61" s="30"/>
      <x:c r="H61" s="30"/>
      <x:c r="I61" s="30" t="n">
        <x:v>58.333333333333336</x:v>
      </x:c>
      <x:c r="J61" s="30" t="n">
        <x:v>91.66666666666666</x:v>
      </x:c>
      <x:c r="K61" s="30" t="n">
        <x:v>41.66666666666667</x:v>
      </x:c>
      <x:c r="L61" s="30"/>
      <x:c r="M61" s="30"/>
      <x:c r="N61" s="30"/>
      <x:c r="O61" s="30"/>
      <x:c r="P61" s="30"/>
    </x:row>
    <x:row r="62">
      <x:c r="A62" t="str">
        <x:v>A08</x:v>
      </x:c>
      <x:c r="B62" t="str">
        <x:v>F0805</x:v>
      </x:c>
      <x:c r="C62" t="str">
        <x:v>Higiene, saneamiento y diseño higiénico</x:v>
      </x:c>
      <x:c r="D62" s="30"/>
      <x:c r="E62" s="30"/>
      <x:c r="F62" s="30"/>
      <x:c r="G62" s="30"/>
      <x:c r="H62" s="30"/>
      <x:c r="I62" s="30"/>
      <x:c r="J62" s="30"/>
      <x:c r="K62" s="30"/>
      <x:c r="L62" s="30" t="n">
        <x:v>58.333333333333336</x:v>
      </x:c>
      <x:c r="M62" s="30" t="n">
        <x:v>91.66666666666666</x:v>
      </x:c>
      <x:c r="N62" s="30"/>
      <x:c r="O62" s="30"/>
      <x:c r="P62" s="30" t="n">
        <x:v>91.66666666666666</x:v>
      </x:c>
    </x:row>
    <x:row r="63">
      <x:c r="A63" t="str">
        <x:v>A08</x:v>
      </x:c>
      <x:c r="B63" t="str">
        <x:v>F0806</x:v>
      </x:c>
      <x:c r="C63" t="str">
        <x:v>Derecho, regulación y etiquetado alimentario</x:v>
      </x:c>
      <x:c r="D63" s="30"/>
      <x:c r="E63" s="30"/>
      <x:c r="F63" s="30"/>
      <x:c r="G63" s="30"/>
      <x:c r="H63" s="30"/>
      <x:c r="I63" s="30"/>
      <x:c r="J63" s="30"/>
      <x:c r="K63" s="30"/>
      <x:c r="L63" s="30" t="n">
        <x:v>75</x:v>
      </x:c>
      <x:c r="M63" s="30"/>
      <x:c r="N63" s="30"/>
      <x:c r="O63" s="30"/>
      <x:c r="P63" s="30" t="n">
        <x:v>58.333333333333336</x:v>
      </x:c>
    </x:row>
    <x:row r="64">
      <x:c r="A64" t="str">
        <x:v>A08</x:v>
      </x:c>
      <x:c r="B64" t="str">
        <x:v>F0807</x:v>
      </x:c>
      <x:c r="C64" t="str">
        <x:v>Trazabilidad, certificación y auditoría</x:v>
      </x:c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</x:row>
    <x:row r="65">
      <x:c r="A65" t="str">
        <x:v>A09</x:v>
      </x:c>
      <x:c r="B65" t="str">
        <x:v>F0901</x:v>
      </x:c>
      <x:c r="C65" t="str">
        <x:v>Diseño de plantas e industrias alimentarias</x:v>
      </x:c>
      <x:c r="D65" s="30"/>
      <x:c r="E65" s="30"/>
      <x:c r="F65" s="30" t="n">
        <x:v>68.75</x:v>
      </x:c>
      <x:c r="G65" s="30" t="n">
        <x:v>93.75</x:v>
      </x:c>
      <x:c r="H65" s="30"/>
      <x:c r="I65" s="30"/>
      <x:c r="J65" s="30" t="n">
        <x:v>91.66666666666666</x:v>
      </x:c>
      <x:c r="K65" s="30"/>
      <x:c r="L65" s="30"/>
      <x:c r="M65" s="30"/>
      <x:c r="N65" s="30" t="n">
        <x:v>75</x:v>
      </x:c>
      <x:c r="O65" s="30"/>
      <x:c r="P65" s="30"/>
    </x:row>
    <x:row r="66">
      <x:c r="A66" t="str">
        <x:v>A09</x:v>
      </x:c>
      <x:c r="B66" t="str">
        <x:v>F0902</x:v>
      </x:c>
      <x:c r="C66" t="str">
        <x:v>Maquinaria y equipos de proceso</x:v>
      </x:c>
      <x:c r="D66" s="30"/>
      <x:c r="E66" s="30"/>
      <x:c r="F66" s="30"/>
      <x:c r="G66" s="30"/>
      <x:c r="H66" s="30"/>
      <x:c r="I66" s="30"/>
      <x:c r="J66" s="30"/>
      <x:c r="K66" s="30" t="n">
        <x:v>91.66666666666666</x:v>
      </x:c>
      <x:c r="L66" s="30"/>
      <x:c r="M66" s="30" t="n">
        <x:v>41.66666666666667</x:v>
      </x:c>
      <x:c r="N66" s="30"/>
      <x:c r="O66" s="30"/>
      <x:c r="P66" s="30" t="n">
        <x:v>91.66666666666666</x:v>
      </x:c>
    </x:row>
    <x:row r="67">
      <x:c r="A67" t="str">
        <x:v>A09</x:v>
      </x:c>
      <x:c r="B67" t="str">
        <x:v>F0903</x:v>
      </x:c>
      <x:c r="C67" t="str">
        <x:v>Instalaciones y servicios auxiliares</x:v>
      </x:c>
      <x:c r="D67" s="30"/>
      <x:c r="E67" s="30" t="n">
        <x:v>56.25</x:v>
      </x:c>
      <x:c r="F67" s="30"/>
      <x:c r="G67" s="30" t="n">
        <x:v>68.75</x:v>
      </x:c>
      <x:c r="H67" s="30" t="n">
        <x:v>81.25</x:v>
      </x:c>
      <x:c r="I67" s="30"/>
      <x:c r="J67" s="30"/>
      <x:c r="K67" s="30"/>
      <x:c r="L67" s="30" t="n">
        <x:v>25</x:v>
      </x:c>
      <x:c r="M67" s="30"/>
      <x:c r="N67" s="30" t="n">
        <x:v>41.66666666666667</x:v>
      </x:c>
      <x:c r="O67" s="30"/>
      <x:c r="P67" s="30"/>
    </x:row>
    <x:row r="68">
      <x:c r="A68" t="str">
        <x:v>A09</x:v>
      </x:c>
      <x:c r="B68" t="str">
        <x:v>F0904</x:v>
      </x:c>
      <x:c r="C68" t="str">
        <x:v>Construcciones agroindustriales</x:v>
      </x:c>
      <x:c r="D68" s="30"/>
      <x:c r="E68" s="30" t="n">
        <x:v>81.25</x:v>
      </x:c>
      <x:c r="F68" s="30"/>
      <x:c r="G68" s="30" t="n">
        <x:v>56.25</x:v>
      </x:c>
      <x:c r="H68" s="30" t="n">
        <x:v>81.25</x:v>
      </x:c>
      <x:c r="I68" s="30"/>
      <x:c r="J68" s="30"/>
      <x:c r="K68" s="30"/>
      <x:c r="L68" s="30"/>
      <x:c r="M68" s="30"/>
      <x:c r="N68" s="30"/>
      <x:c r="O68" s="30"/>
      <x:c r="P68" s="30"/>
    </x:row>
    <x:row r="69">
      <x:c r="A69" t="str">
        <x:v>A09</x:v>
      </x:c>
      <x:c r="B69" t="str">
        <x:v>F0905</x:v>
      </x:c>
      <x:c r="C69" t="str">
        <x:v>Automatización, control e instrumentación</x:v>
      </x:c>
      <x:c r="D69" s="30" t="n">
        <x:v>56.25</x:v>
      </x:c>
      <x:c r="E69" s="30" t="n">
        <x:v>43.75</x:v>
      </x:c>
      <x:c r="F69" s="30"/>
      <x:c r="G69" s="30"/>
      <x:c r="H69" s="30" t="n">
        <x:v>93.75</x:v>
      </x:c>
      <x:c r="I69" s="30"/>
      <x:c r="J69" s="30"/>
      <x:c r="K69" s="30"/>
      <x:c r="L69" s="30"/>
      <x:c r="M69" s="30"/>
      <x:c r="N69" s="30" t="n">
        <x:v>41.66666666666667</x:v>
      </x:c>
      <x:c r="O69" s="30"/>
      <x:c r="P69" s="30"/>
    </x:row>
    <x:row r="70">
      <x:c r="A70" t="str">
        <x:v>A09</x:v>
      </x:c>
      <x:c r="B70" t="str">
        <x:v>F0906</x:v>
      </x:c>
      <x:c r="C70" t="str">
        <x:v>Robótica, digitalización e Industria 4.0</x:v>
      </x:c>
      <x:c r="D70" s="30" t="n">
        <x:v>93.75</x:v>
      </x:c>
      <x:c r="E70" s="30"/>
      <x:c r="F70" s="30" t="n">
        <x:v>93.75</x:v>
      </x:c>
      <x:c r="G70" s="30"/>
      <x:c r="H70" s="30"/>
      <x:c r="I70" s="30"/>
      <x:c r="J70" s="30" t="n">
        <x:v>58.333333333333336</x:v>
      </x:c>
      <x:c r="K70" s="30"/>
      <x:c r="L70" s="30"/>
      <x:c r="M70" s="30"/>
      <x:c r="N70" s="30"/>
      <x:c r="O70" s="30"/>
      <x:c r="P70" s="30"/>
    </x:row>
    <x:row r="71">
      <x:c r="A71" t="str">
        <x:v>A09</x:v>
      </x:c>
      <x:c r="B71" t="str">
        <x:v>F0907</x:v>
      </x:c>
      <x:c r="C71" t="str">
        <x:v>Envases, materiales y packaging</x:v>
      </x:c>
      <x:c r="D71" s="30" t="n">
        <x:v>68.75</x:v>
      </x:c>
      <x:c r="E71" s="30"/>
      <x:c r="F71" s="30"/>
      <x:c r="G71" s="30"/>
      <x:c r="H71" s="30"/>
      <x:c r="I71" s="30"/>
      <x:c r="J71" s="30" t="n">
        <x:v>75</x:v>
      </x:c>
      <x:c r="K71" s="30"/>
      <x:c r="L71" s="30"/>
      <x:c r="M71" s="30"/>
      <x:c r="N71" s="30"/>
      <x:c r="O71" s="30" t="n">
        <x:v>58.333333333333336</x:v>
      </x:c>
      <x:c r="P71" s="30" t="n">
        <x:v>75</x:v>
      </x:c>
    </x:row>
    <x:row r="72">
      <x:c r="A72" t="str">
        <x:v>A09</x:v>
      </x:c>
      <x:c r="B72" t="str">
        <x:v>F0908</x:v>
      </x:c>
      <x:c r="C72" t="str">
        <x:v>Sistemas energéticos y utilidades térmicas</x:v>
      </x:c>
      <x:c r="D72" s="30"/>
      <x:c r="E72" s="30" t="n">
        <x:v>31.25</x:v>
      </x:c>
      <x:c r="F72" s="30" t="n">
        <x:v>31.25</x:v>
      </x:c>
      <x:c r="G72" s="30" t="n">
        <x:v>68.75</x:v>
      </x:c>
      <x:c r="H72" s="30"/>
      <x:c r="I72" s="30"/>
      <x:c r="J72" s="30"/>
      <x:c r="K72" s="30"/>
      <x:c r="L72" s="30"/>
      <x:c r="M72" s="30"/>
      <x:c r="N72" s="30" t="n">
        <x:v>91.66666666666666</x:v>
      </x:c>
      <x:c r="O72" s="30"/>
      <x:c r="P72" s="30" t="n">
        <x:v>75</x:v>
      </x:c>
    </x:row>
    <x:row r="73">
      <x:c r="A73" t="str">
        <x:v>A10</x:v>
      </x:c>
      <x:c r="B73" t="str">
        <x:v>F1001</x:v>
      </x:c>
      <x:c r="C73" t="str">
        <x:v>Producción vegetal y fitotecnia</x:v>
      </x:c>
      <x:c r="D73" s="30" t="n">
        <x:v>43.75</x:v>
      </x:c>
      <x:c r="E73" s="30" t="n">
        <x:v>31.25</x:v>
      </x:c>
      <x:c r="F73" s="30" t="n">
        <x:v>43.75</x:v>
      </x:c>
      <x:c r="G73" s="30" t="n">
        <x:v>43.75</x:v>
      </x:c>
      <x:c r="H73" s="30" t="n">
        <x:v>31.25</x:v>
      </x:c>
      <x:c r="I73" s="30"/>
      <x:c r="J73" s="30" t="n">
        <x:v>8.333333333333332</x:v>
      </x:c>
      <x:c r="K73" s="30" t="n">
        <x:v>8.333333333333332</x:v>
      </x:c>
      <x:c r="L73" s="30" t="n">
        <x:v>58.333333333333336</x:v>
      </x:c>
      <x:c r="M73" s="30" t="n">
        <x:v>41.66666666666667</x:v>
      </x:c>
      <x:c r="N73" s="30"/>
      <x:c r="O73" s="30"/>
      <x:c r="P73" s="30"/>
    </x:row>
    <x:row r="74">
      <x:c r="A74" t="str">
        <x:v>A10</x:v>
      </x:c>
      <x:c r="B74" t="str">
        <x:v>F1002</x:v>
      </x:c>
      <x:c r="C74" t="str">
        <x:v>Producción animal y zootecnia</x:v>
      </x:c>
      <x:c r="D74" s="30" t="n">
        <x:v>56.25</x:v>
      </x:c>
      <x:c r="E74" s="30" t="n">
        <x:v>18.75</x:v>
      </x:c>
      <x:c r="F74" s="30" t="n">
        <x:v>43.75</x:v>
      </x:c>
      <x:c r="G74" s="30" t="n">
        <x:v>31.25</x:v>
      </x:c>
      <x:c r="H74" s="30" t="n">
        <x:v>31.25</x:v>
      </x:c>
      <x:c r="I74" s="30"/>
      <x:c r="J74" s="30"/>
      <x:c r="K74" s="30" t="n">
        <x:v>8.333333333333332</x:v>
      </x:c>
      <x:c r="L74" s="30" t="n">
        <x:v>41.66666666666667</x:v>
      </x:c>
      <x:c r="M74" s="30" t="n">
        <x:v>25</x:v>
      </x:c>
      <x:c r="N74" s="30"/>
      <x:c r="O74" s="30"/>
      <x:c r="P74" s="30"/>
    </x:row>
    <x:row r="75">
      <x:c r="A75" t="str">
        <x:v>A10</x:v>
      </x:c>
      <x:c r="B75" t="str">
        <x:v>F1003</x:v>
      </x:c>
      <x:c r="C75" t="str">
        <x:v>Materias primas agroalimentarias y aprovisionamiento</x:v>
      </x:c>
      <x:c r="D75" s="30" t="n">
        <x:v>43.75</x:v>
      </x:c>
      <x:c r="E75" s="30"/>
      <x:c r="F75" s="30"/>
      <x:c r="G75" s="30" t="n">
        <x:v>56.25</x:v>
      </x:c>
      <x:c r="H75" s="30"/>
      <x:c r="I75" s="30"/>
      <x:c r="J75" s="30"/>
      <x:c r="K75" s="30"/>
      <x:c r="L75" s="30"/>
      <x:c r="M75" s="30"/>
      <x:c r="N75" s="30"/>
      <x:c r="O75" s="30"/>
      <x:c r="P75" s="30"/>
    </x:row>
    <x:row r="76">
      <x:c r="A76" t="str">
        <x:v>A10</x:v>
      </x:c>
      <x:c r="B76" t="str">
        <x:v>F1004</x:v>
      </x:c>
      <x:c r="C76" t="str">
        <x:v>Poscosecha y conservación de materia prima</x:v>
      </x:c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</x:row>
    <x:row r="77">
      <x:c r="A77" t="str">
        <x:v>A10</x:v>
      </x:c>
      <x:c r="B77" t="str">
        <x:v>F1005</x:v>
      </x:c>
      <x:c r="C77" t="str">
        <x:v>Edafología, geología y climatología</x:v>
      </x:c>
      <x:c r="D77" s="30" t="n">
        <x:v>18.75</x:v>
      </x:c>
      <x:c r="E77" s="30" t="n">
        <x:v>31.25</x:v>
      </x:c>
      <x:c r="F77" s="30" t="n">
        <x:v>18.75</x:v>
      </x:c>
      <x:c r="G77" s="30" t="n">
        <x:v>6.25</x:v>
      </x:c>
      <x:c r="H77" s="30" t="n">
        <x:v>18.75</x:v>
      </x:c>
      <x:c r="I77" s="30"/>
      <x:c r="J77" s="30"/>
      <x:c r="K77" s="30"/>
      <x:c r="L77" s="30"/>
      <x:c r="M77" s="30"/>
      <x:c r="N77" s="30"/>
      <x:c r="O77" s="30"/>
      <x:c r="P77" s="30"/>
    </x:row>
    <x:row r="78">
      <x:c r="A78" t="str">
        <x:v>A10</x:v>
      </x:c>
      <x:c r="B78" t="str">
        <x:v>F1006</x:v>
      </x:c>
      <x:c r="C78" t="str">
        <x:v>Geomática, topografía y cartografía</x:v>
      </x:c>
      <x:c r="D78" s="30" t="n">
        <x:v>43.75</x:v>
      </x:c>
      <x:c r="E78" s="30" t="n">
        <x:v>43.75</x:v>
      </x:c>
      <x:c r="F78" s="30" t="n">
        <x:v>31.25</x:v>
      </x:c>
      <x:c r="G78" s="30" t="n">
        <x:v>43.75</x:v>
      </x:c>
      <x:c r="H78" s="30" t="n">
        <x:v>43.75</x:v>
      </x:c>
      <x:c r="I78" s="30"/>
      <x:c r="J78" s="30"/>
      <x:c r="K78" s="30"/>
      <x:c r="L78" s="30"/>
      <x:c r="M78" s="30"/>
      <x:c r="N78" s="30"/>
      <x:c r="O78" s="30"/>
      <x:c r="P78" s="30"/>
    </x:row>
    <x:row r="79">
      <x:c r="A79" t="str">
        <x:v>A10</x:v>
      </x:c>
      <x:c r="B79" t="str">
        <x:v>F1007</x:v>
      </x:c>
      <x:c r="C79" t="str">
        <x:v>Riego, drenaje y mecanización agrícola</x:v>
      </x:c>
      <x:c r="D79" s="30"/>
      <x:c r="E79" s="30"/>
      <x:c r="F79" s="30"/>
      <x:c r="G79" s="30" t="n">
        <x:v>31.25</x:v>
      </x:c>
      <x:c r="H79" s="30" t="n">
        <x:v>31.25</x:v>
      </x:c>
      <x:c r="I79" s="30"/>
      <x:c r="J79" s="30"/>
      <x:c r="K79" s="30"/>
      <x:c r="L79" s="30"/>
      <x:c r="M79" s="30"/>
      <x:c r="N79" s="30"/>
      <x:c r="O79" s="30"/>
      <x:c r="P79" s="30"/>
    </x:row>
    <x:row r="80">
      <x:c r="A80" t="str">
        <x:v>A11</x:v>
      </x:c>
      <x:c r="B80" t="str">
        <x:v>F1101</x:v>
      </x:c>
      <x:c r="C80" t="str">
        <x:v>Ecología e impacto ambiental</x:v>
      </x:c>
      <x:c r="D80" s="30" t="n">
        <x:v>81.25</x:v>
      </x:c>
      <x:c r="E80" s="30" t="n">
        <x:v>68.75</x:v>
      </x:c>
      <x:c r="F80" s="30" t="n">
        <x:v>68.75</x:v>
      </x:c>
      <x:c r="G80" s="30" t="n">
        <x:v>31.25</x:v>
      </x:c>
      <x:c r="H80" s="30" t="n">
        <x:v>31.25</x:v>
      </x:c>
      <x:c r="I80" s="30"/>
      <x:c r="J80" s="30"/>
      <x:c r="K80" s="30"/>
      <x:c r="L80" s="30"/>
      <x:c r="M80" s="30"/>
      <x:c r="N80" s="30"/>
      <x:c r="O80" s="30"/>
      <x:c r="P80" s="30"/>
    </x:row>
    <x:row r="81">
      <x:c r="A81" t="str">
        <x:v>A11</x:v>
      </x:c>
      <x:c r="B81" t="str">
        <x:v>F1102</x:v>
      </x:c>
      <x:c r="C81" t="str">
        <x:v>Análisis de ciclo de vida y ecodiseño</x:v>
      </x:c>
      <x:c r="D81" s="30" t="n">
        <x:v>93.75</x:v>
      </x:c>
      <x:c r="E81" s="30"/>
      <x:c r="F81" s="30" t="n">
        <x:v>81.25</x:v>
      </x:c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</x:row>
    <x:row r="82">
      <x:c r="A82" t="str">
        <x:v>A11</x:v>
      </x:c>
      <x:c r="B82" t="str">
        <x:v>F1103</x:v>
      </x:c>
      <x:c r="C82" t="str">
        <x:v>Residuos, subproductos y valorización</x:v>
      </x:c>
      <x:c r="D82" s="30" t="n">
        <x:v>31.25</x:v>
      </x:c>
      <x:c r="E82" s="30" t="n">
        <x:v>81.25</x:v>
      </x:c>
      <x:c r="F82" s="30"/>
      <x:c r="G82" s="30" t="n">
        <x:v>81.25</x:v>
      </x:c>
      <x:c r="H82" s="30" t="n">
        <x:v>81.25</x:v>
      </x:c>
      <x:c r="I82" s="30"/>
      <x:c r="J82" s="30"/>
      <x:c r="K82" s="30"/>
      <x:c r="L82" s="30"/>
      <x:c r="M82" s="30"/>
      <x:c r="N82" s="30"/>
      <x:c r="O82" s="30"/>
      <x:c r="P82" s="30"/>
    </x:row>
    <x:row r="83">
      <x:c r="A83" t="str">
        <x:v>A11</x:v>
      </x:c>
      <x:c r="B83" t="str">
        <x:v>F1104</x:v>
      </x:c>
      <x:c r="C83" t="str">
        <x:v>Tratamiento de aguas y efluentes</x:v>
      </x:c>
      <x:c r="D83" s="30"/>
      <x:c r="E83" s="30"/>
      <x:c r="F83" s="30"/>
      <x:c r="G83" s="30"/>
      <x:c r="H83" s="30"/>
      <x:c r="I83" s="30" t="n">
        <x:v>91.66666666666666</x:v>
      </x:c>
      <x:c r="J83" s="30" t="n">
        <x:v>75</x:v>
      </x:c>
      <x:c r="K83" s="30"/>
      <x:c r="L83" s="30"/>
      <x:c r="M83" s="30"/>
      <x:c r="N83" s="30"/>
      <x:c r="O83" s="30"/>
      <x:c r="P83" s="30"/>
    </x:row>
    <x:row r="84">
      <x:c r="A84" t="str">
        <x:v>A11</x:v>
      </x:c>
      <x:c r="B84" t="str">
        <x:v>F1105</x:v>
      </x:c>
      <x:c r="C84" t="str">
        <x:v>Sostenibilidad y economía circular</x:v>
      </x:c>
      <x:c r="D84" s="30"/>
      <x:c r="E84" s="30"/>
      <x:c r="F84" s="30"/>
      <x:c r="G84" s="30"/>
      <x:c r="H84" s="30"/>
      <x:c r="I84" s="30"/>
      <x:c r="J84" s="30"/>
      <x:c r="K84" s="30" t="n">
        <x:v>75</x:v>
      </x:c>
      <x:c r="L84" s="30"/>
      <x:c r="M84" s="30"/>
      <x:c r="N84" s="30"/>
      <x:c r="O84" s="30"/>
      <x:c r="P84" s="30"/>
    </x:row>
    <x:row r="85">
      <x:c r="A85" t="str">
        <x:v>A11</x:v>
      </x:c>
      <x:c r="B85" t="str">
        <x:v>F1106</x:v>
      </x:c>
      <x:c r="C85" t="str">
        <x:v>Bioenergía, biomasa y energía ambiental</x:v>
      </x:c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 t="n">
        <x:v>25</x:v>
      </x:c>
    </x:row>
    <x:row r="86">
      <x:c r="A86" t="str">
        <x:v>A12</x:v>
      </x:c>
      <x:c r="B86" t="str">
        <x:v>F1201</x:v>
      </x:c>
      <x:c r="C86" t="str">
        <x:v>Economía y sistemas agroalimentarios</x:v>
      </x:c>
      <x:c r="D86" s="30" t="n">
        <x:v>43.75</x:v>
      </x:c>
      <x:c r="E86" s="30"/>
      <x:c r="F86" s="30" t="n">
        <x:v>31.25</x:v>
      </x:c>
      <x:c r="G86" s="30" t="n">
        <x:v>18.75</x:v>
      </x:c>
      <x:c r="H86" s="30" t="n">
        <x:v>43.75</x:v>
      </x:c>
      <x:c r="I86" s="30"/>
      <x:c r="J86" s="30" t="n">
        <x:v>58.333333333333336</x:v>
      </x:c>
      <x:c r="K86" s="30"/>
      <x:c r="L86" s="30" t="n">
        <x:v>25</x:v>
      </x:c>
      <x:c r="M86" s="30" t="n">
        <x:v>8.333333333333332</x:v>
      </x:c>
      <x:c r="N86" s="30"/>
      <x:c r="O86" s="30"/>
      <x:c r="P86" s="30" t="n">
        <x:v>25</x:v>
      </x:c>
    </x:row>
    <x:row r="87">
      <x:c r="A87" t="str">
        <x:v>A12</x:v>
      </x:c>
      <x:c r="B87" t="str">
        <x:v>F1202</x:v>
      </x:c>
      <x:c r="C87" t="str">
        <x:v>Administración y gestión empresarial</x:v>
      </x:c>
      <x:c r="D87" s="30" t="n">
        <x:v>31.25</x:v>
      </x:c>
      <x:c r="E87" s="30" t="n">
        <x:v>6.25</x:v>
      </x:c>
      <x:c r="F87" s="30"/>
      <x:c r="G87" s="30" t="n">
        <x:v>81.25</x:v>
      </x:c>
      <x:c r="H87" s="30" t="n">
        <x:v>18.75</x:v>
      </x:c>
      <x:c r="I87" s="30"/>
      <x:c r="J87" s="30" t="n">
        <x:v>75</x:v>
      </x:c>
      <x:c r="K87" s="30" t="n">
        <x:v>58.333333333333336</x:v>
      </x:c>
      <x:c r="L87" s="30"/>
      <x:c r="M87" s="30"/>
      <x:c r="N87" s="30" t="n">
        <x:v>75</x:v>
      </x:c>
      <x:c r="O87" s="30"/>
      <x:c r="P87" s="30"/>
    </x:row>
    <x:row r="88">
      <x:c r="A88" t="str">
        <x:v>A12</x:v>
      </x:c>
      <x:c r="B88" t="str">
        <x:v>F1203</x:v>
      </x:c>
      <x:c r="C88" t="str">
        <x:v>Costos, valoración y finanzas</x:v>
      </x:c>
      <x:c r="D88" s="30" t="n">
        <x:v>56.25</x:v>
      </x:c>
      <x:c r="E88" s="30"/>
      <x:c r="F88" s="30" t="n">
        <x:v>43.75</x:v>
      </x:c>
      <x:c r="G88" s="30"/>
      <x:c r="H88" s="30" t="n">
        <x:v>43.75</x:v>
      </x:c>
      <x:c r="I88" s="30"/>
      <x:c r="J88" s="30"/>
      <x:c r="K88" s="30"/>
      <x:c r="L88" s="30"/>
      <x:c r="M88" s="30"/>
      <x:c r="N88" s="30"/>
      <x:c r="O88" s="30"/>
      <x:c r="P88" s="30"/>
    </x:row>
    <x:row r="89">
      <x:c r="A89" t="str">
        <x:v>A12</x:v>
      </x:c>
      <x:c r="B89" t="str">
        <x:v>F1204</x:v>
      </x:c>
      <x:c r="C89" t="str">
        <x:v>Marketing y comercialización</x:v>
      </x:c>
      <x:c r="D89" s="30" t="n">
        <x:v>93.75</x:v>
      </x:c>
      <x:c r="E89" s="30" t="n">
        <x:v>68.75</x:v>
      </x:c>
      <x:c r="F89" s="30"/>
      <x:c r="G89" s="30" t="n">
        <x:v>56.25</x:v>
      </x:c>
      <x:c r="H89" s="30" t="n">
        <x:v>68.75</x:v>
      </x:c>
      <x:c r="I89" s="30"/>
      <x:c r="J89" s="30"/>
      <x:c r="K89" s="30"/>
      <x:c r="L89" s="30"/>
      <x:c r="M89" s="30"/>
      <x:c r="N89" s="30"/>
      <x:c r="O89" s="30"/>
      <x:c r="P89" s="30"/>
    </x:row>
    <x:row r="90">
      <x:c r="A90" t="str">
        <x:v>A12</x:v>
      </x:c>
      <x:c r="B90" t="str">
        <x:v>F1205</x:v>
      </x:c>
      <x:c r="C90" t="str">
        <x:v>Logística y supply chain</x:v>
      </x:c>
      <x:c r="D90" s="30" t="n">
        <x:v>93.75</x:v>
      </x:c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</x:row>
    <x:row r="91">
      <x:c r="A91" t="str">
        <x:v>A12</x:v>
      </x:c>
      <x:c r="B91" t="str">
        <x:v>F1206</x:v>
      </x:c>
      <x:c r="C91" t="str">
        <x:v>Gestión de producción y operaciones</x:v>
      </x:c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</x:row>
    <x:row r="92">
      <x:c r="A92" t="str">
        <x:v>A12</x:v>
      </x:c>
      <x:c r="B92" t="str">
        <x:v>F1207</x:v>
      </x:c>
      <x:c r="C92" t="str">
        <x:v>Gestión de proyectos</x:v>
      </x:c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</x:row>
    <x:row r="93">
      <x:c r="A93" t="str">
        <x:v>A12</x:v>
      </x:c>
      <x:c r="B93" t="str">
        <x:v>F1208</x:v>
      </x:c>
      <x:c r="C93" t="str">
        <x:v>Emprendimiento y modelos de negocio</x:v>
      </x:c>
      <x:c r="D93" s="30"/>
      <x:c r="E93" s="30"/>
      <x:c r="F93" s="30" t="n">
        <x:v>81.25</x:v>
      </x:c>
      <x:c r="G93" s="30"/>
      <x:c r="H93" s="30"/>
      <x:c r="I93" s="30" t="n">
        <x:v>75</x:v>
      </x:c>
      <x:c r="J93" s="30"/>
      <x:c r="K93" s="30" t="n">
        <x:v>91.66666666666666</x:v>
      </x:c>
      <x:c r="L93" s="30"/>
      <x:c r="M93" s="30"/>
      <x:c r="N93" s="30"/>
      <x:c r="O93" s="30"/>
      <x:c r="P93" s="30"/>
    </x:row>
    <x:row r="94">
      <x:c r="A94" t="str">
        <x:v>A13</x:v>
      </x:c>
      <x:c r="B94" t="str">
        <x:v>F1301</x:v>
      </x:c>
      <x:c r="C94" t="str">
        <x:v>Nutrición humana y dietética</x:v>
      </x:c>
      <x:c r="D94" s="30" t="n">
        <x:v>18.75</x:v>
      </x:c>
      <x:c r="E94" s="30"/>
      <x:c r="F94" s="30"/>
      <x:c r="G94" s="30"/>
      <x:c r="H94" s="30"/>
      <x:c r="I94" s="30"/>
      <x:c r="J94" s="30" t="n">
        <x:v>41.66666666666667</x:v>
      </x:c>
      <x:c r="K94" s="30"/>
      <x:c r="L94" s="30" t="n">
        <x:v>41.66666666666667</x:v>
      </x:c>
      <x:c r="M94" s="30" t="n">
        <x:v>91.66666666666666</x:v>
      </x:c>
      <x:c r="N94" s="30"/>
      <x:c r="O94" s="30"/>
      <x:c r="P94" s="30"/>
    </x:row>
    <x:row r="95">
      <x:c r="A95" t="str">
        <x:v>A13</x:v>
      </x:c>
      <x:c r="B95" t="str">
        <x:v>F1302</x:v>
      </x:c>
      <x:c r="C95" t="str">
        <x:v>Alimentación y salud / alimentos funcionales</x:v>
      </x:c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</x:row>
    <x:row r="96">
      <x:c r="A96" t="str">
        <x:v>A13</x:v>
      </x:c>
      <x:c r="B96" t="str">
        <x:v>F1303</x:v>
      </x:c>
      <x:c r="C96" t="str">
        <x:v>Ciencia sensorial y del consumidor</x:v>
      </x:c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</x:row>
    <x:row r="97">
      <x:c r="A97" t="str">
        <x:v>A14</x:v>
      </x:c>
      <x:c r="B97" t="str">
        <x:v>F1401</x:v>
      </x:c>
      <x:c r="C97" t="str">
        <x:v>Desarrollo e innovación de productos alimentarios</x:v>
      </x:c>
      <x:c r="D97" s="30" t="n">
        <x:v>93.75</x:v>
      </x:c>
      <x:c r="E97" s="30"/>
      <x:c r="F97" s="30" t="n">
        <x:v>93.75</x:v>
      </x:c>
      <x:c r="G97" s="30"/>
      <x:c r="H97" s="30"/>
      <x:c r="I97" s="30" t="n">
        <x:v>91.66666666666666</x:v>
      </x:c>
      <x:c r="J97" s="30"/>
      <x:c r="K97" s="30" t="n">
        <x:v>75</x:v>
      </x:c>
      <x:c r="L97" s="30"/>
      <x:c r="M97" s="30" t="n">
        <x:v>75</x:v>
      </x:c>
      <x:c r="N97" s="30"/>
      <x:c r="O97" s="30"/>
      <x:c r="P97" s="30"/>
    </x:row>
    <x:row r="98">
      <x:c r="A98" t="str">
        <x:v>A14</x:v>
      </x:c>
      <x:c r="B98" t="str">
        <x:v>F1402</x:v>
      </x:c>
      <x:c r="C98" t="str">
        <x:v>Formulación avanzada orientada a innovación</x:v>
      </x:c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</x:row>
    <x:row r="99">
      <x:c r="A99" t="str">
        <x:v>A14</x:v>
      </x:c>
      <x:c r="B99" t="str">
        <x:v>F1403</x:v>
      </x:c>
      <x:c r="C99" t="str">
        <x:v>Investigación y desarrollo aplicado</x:v>
      </x:c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</x:row>
    <x:row r="100">
      <x:c r="A100" t="str">
        <x:v>A14</x:v>
      </x:c>
      <x:c r="B100" t="str">
        <x:v>F1404</x:v>
      </x:c>
      <x:c r="C100" t="str">
        <x:v>Diseño experimental aplicado a I+D</x:v>
      </x:c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</x:row>
    <x:row r="101">
      <x:c r="A101" t="str">
        <x:v>A15</x:v>
      </x:c>
      <x:c r="B101" t="str">
        <x:v>F1501</x:v>
      </x:c>
      <x:c r="C101" t="str">
        <x:v>Proyecto de ingeniería / oficina técnica</x:v>
      </x:c>
      <x:c r="D101" s="30" t="n">
        <x:v>81.25</x:v>
      </x:c>
      <x:c r="E101" s="30" t="n">
        <x:v>93.75</x:v>
      </x:c>
      <x:c r="F101" s="30"/>
      <x:c r="G101" s="30" t="n">
        <x:v>68.75</x:v>
      </x:c>
      <x:c r="H101" s="30" t="n">
        <x:v>68.75</x:v>
      </x:c>
      <x:c r="I101" s="30"/>
      <x:c r="J101" s="30"/>
      <x:c r="K101" s="30"/>
      <x:c r="L101" s="30"/>
      <x:c r="M101" s="30"/>
      <x:c r="N101" s="30"/>
      <x:c r="O101" s="30"/>
      <x:c r="P101" s="30"/>
    </x:row>
    <x:row r="102">
      <x:c r="A102" t="str">
        <x:v>A15</x:v>
      </x:c>
      <x:c r="B102" t="str">
        <x:v>F1502</x:v>
      </x:c>
      <x:c r="C102" t="str">
        <x:v>Proyecto integrador / capstone</x:v>
      </x:c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</x:row>
    <x:row r="103">
      <x:c r="A103" t="str">
        <x:v>A15</x:v>
      </x:c>
      <x:c r="B103" t="str">
        <x:v>F1503</x:v>
      </x:c>
      <x:c r="C103" t="str">
        <x:v>Trabajo Fin de Grado / Bachelor thesis</x:v>
      </x:c>
      <x:c r="D103" s="30" t="n">
        <x:v>93.75</x:v>
      </x:c>
      <x:c r="E103" s="30" t="n">
        <x:v>93.75</x:v>
      </x:c>
      <x:c r="F103" s="30" t="n">
        <x:v>93.75</x:v>
      </x:c>
      <x:c r="G103" s="30" t="n">
        <x:v>93.75</x:v>
      </x:c>
      <x:c r="H103" s="30"/>
      <x:c r="I103" s="30"/>
      <x:c r="J103" s="30"/>
      <x:c r="K103" s="30"/>
      <x:c r="L103" s="30" t="n">
        <x:v>75</x:v>
      </x:c>
      <x:c r="M103" s="30" t="n">
        <x:v>91.66666666666666</x:v>
      </x:c>
      <x:c r="N103" s="30" t="n">
        <x:v>91.66666666666666</x:v>
      </x:c>
      <x:c r="O103" s="30" t="n">
        <x:v>91.66666666666666</x:v>
      </x:c>
      <x:c r="P103" s="30" t="n">
        <x:v>91.66666666666666</x:v>
      </x:c>
    </x:row>
    <x:row r="104">
      <x:c r="A104" t="str">
        <x:v>A15</x:v>
      </x:c>
      <x:c r="B104" t="str">
        <x:v>F1504</x:v>
      </x:c>
      <x:c r="C104" t="str">
        <x:v>Tesis / mémoire de investigación</x:v>
      </x:c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</x:row>
    <x:row r="105">
      <x:c r="A105" t="str">
        <x:v>A15</x:v>
      </x:c>
      <x:c r="B105" t="str">
        <x:v>F1505</x:v>
      </x:c>
      <x:c r="C105" t="str">
        <x:v>Práctica externa / internship / stage</x:v>
      </x:c>
      <x:c r="D105" s="30"/>
      <x:c r="E105" s="30"/>
      <x:c r="F105" s="30" t="n">
        <x:v>81.25</x:v>
      </x:c>
      <x:c r="G105" s="30"/>
      <x:c r="H105" s="30"/>
      <x:c r="I105" s="30" t="n">
        <x:v>91.66666666666666</x:v>
      </x:c>
      <x:c r="J105" s="30" t="n">
        <x:v>91.66666666666666</x:v>
      </x:c>
      <x:c r="K105" s="30" t="n">
        <x:v>91.66666666666666</x:v>
      </x:c>
      <x:c r="L105" s="30" t="n">
        <x:v>58.333333333333336</x:v>
      </x:c>
      <x:c r="M105" s="30" t="n">
        <x:v>91.66666666666666</x:v>
      </x:c>
      <x:c r="N105" s="30" t="n">
        <x:v>91.66666666666666</x:v>
      </x:c>
      <x:c r="O105" s="30"/>
      <x:c r="P105" s="30" t="n">
        <x:v>58.333333333333336</x:v>
      </x:c>
    </x:row>
    <x:row r="106">
      <x:c r="A106" t="str">
        <x:v>A15</x:v>
      </x:c>
      <x:c r="B106" t="str">
        <x:v>F1506</x:v>
      </x:c>
      <x:c r="C106" t="str">
        <x:v>Stage final / misión de ingeniero</x:v>
      </x:c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</x:row>
    <x:row r="107">
      <x:c r="A107" t="str">
        <x:v>A15</x:v>
      </x:c>
      <x:c r="B107" t="str">
        <x:v>F1507</x:v>
      </x:c>
      <x:c r="C107" t="str">
        <x:v>Taller / laboratorio integrador / proyecto práctico</x:v>
      </x:c>
      <x:c r="D107" s="30" t="n">
        <x:v>18.75</x:v>
      </x:c>
      <x:c r="E107" s="30"/>
      <x:c r="F107" s="30" t="n">
        <x:v>93.75</x:v>
      </x:c>
      <x:c r="G107" s="30"/>
      <x:c r="H107" s="30"/>
      <x:c r="I107" s="30"/>
      <x:c r="J107" s="30"/>
      <x:c r="K107" s="30" t="n">
        <x:v>58.333333333333336</x:v>
      </x:c>
      <x:c r="L107" s="30"/>
      <x:c r="M107" s="30"/>
      <x:c r="N107" s="30"/>
      <x:c r="O107" s="30" t="n">
        <x:v>41.66666666666667</x:v>
      </x:c>
      <x:c r="P107" s="30"/>
    </x:row>
    <x:row r="108">
      <x:c r="A108" t="str">
        <x:v>A15</x:v>
      </x:c>
      <x:c r="B108" t="str">
        <x:v>F1508</x:v>
      </x:c>
      <x:c r="C108" t="str">
        <x:v>Movilidad y experiencia internacional</x:v>
      </x:c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</x:row>
    <x:row r="109">
      <x:c r="A109" t="str">
        <x:v>A16</x:v>
      </x:c>
      <x:c r="B109" t="str">
        <x:v>F1601</x:v>
      </x:c>
      <x:c r="C109" t="str">
        <x:v>Idioma extranjero</x:v>
      </x:c>
      <x:c r="D109" s="30" t="n">
        <x:v>81.25</x:v>
      </x:c>
      <x:c r="E109" s="30"/>
      <x:c r="F109" s="30"/>
      <x:c r="G109" s="30"/>
      <x:c r="H109" s="30"/>
      <x:c r="I109" s="30"/>
      <x:c r="J109" s="30"/>
      <x:c r="K109" s="30"/>
      <x:c r="L109" s="30" t="n">
        <x:v>8.333333333333332</x:v>
      </x:c>
      <x:c r="M109" s="30" t="n">
        <x:v>58.333333333333336</x:v>
      </x:c>
      <x:c r="N109" s="30" t="n">
        <x:v>8.333333333333332</x:v>
      </x:c>
      <x:c r="O109" s="30"/>
      <x:c r="P109" s="30"/>
    </x:row>
    <x:row r="110">
      <x:c r="A110" t="str">
        <x:v>A16</x:v>
      </x:c>
      <x:c r="B110" t="str">
        <x:v>F1602</x:v>
      </x:c>
      <x:c r="C110" t="str">
        <x:v>Comunicación académica y profesional</x:v>
      </x:c>
      <x:c r="D110" s="30" t="n">
        <x:v>81.25</x:v>
      </x:c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</x:row>
    <x:row r="111">
      <x:c r="A111" t="str">
        <x:v>A16</x:v>
      </x:c>
      <x:c r="B111" t="str">
        <x:v>F1603</x:v>
      </x:c>
      <x:c r="C111" t="str">
        <x:v>Ética, responsabilidad y desarrollo profesional</x:v>
      </x:c>
      <x:c r="D111" s="30"/>
      <x:c r="E111" s="30"/>
      <x:c r="F111" s="30"/>
      <x:c r="G111" s="30"/>
      <x:c r="H111" s="30"/>
      <x:c r="I111" s="30"/>
      <x:c r="J111" s="30"/>
      <x:c r="K111" s="30"/>
      <x:c r="L111" s="30" t="n">
        <x:v>58.333333333333336</x:v>
      </x:c>
      <x:c r="M111" s="30"/>
      <x:c r="N111" s="30"/>
      <x:c r="O111" s="30"/>
      <x:c r="P111" s="30" t="n">
        <x:v>8.333333333333332</x:v>
      </x:c>
    </x:row>
    <x:row r="112">
      <x:c r="A112" t="str">
        <x:v>A16</x:v>
      </x:c>
      <x:c r="B112" t="str">
        <x:v>F1604</x:v>
      </x:c>
      <x:c r="C112" t="str">
        <x:v>Propiedad intelectual y regulación profesional general</x:v>
      </x:c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 t="n">
        <x:v>41.66666666666667</x:v>
      </x:c>
    </x:row>
    <x:row r="113">
      <x:c r="A113" t="str">
        <x:v>A16</x:v>
      </x:c>
      <x:c r="B113" t="str">
        <x:v>F1605</x:v>
      </x:c>
      <x:c r="C113" t="str">
        <x:v>Documentación y alfabetización informacional</x:v>
      </x:c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</x:row>
    <x:row r="114">
      <x:c r="A114" t="str">
        <x:v>A16</x:v>
      </x:c>
      <x:c r="B114" t="str">
        <x:v>F1606</x:v>
      </x:c>
      <x:c r="C114" t="str">
        <x:v>Humanidades, deporte y formación general</x:v>
      </x:c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 t="n">
        <x:v>91.66666666666666</x:v>
      </x:c>
    </x:row>
  </x:sheetData>
  <x:mergeCells>
    <x:mergeCell ref="A1:P1"/>
  </x:mergeCells>
  <x:conditionalFormatting sqref="D4:P114">
    <x:cfRule type="colorScale" priority="1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>
      <x:c r="A1" s="5" t="str">
        <x:v>PROFUNDIDAD MÁXIMA OBSERVADA POR FAMILIA Y CURRÍCULO — N0=0 · N1=1 · N2=2 · N3=3 · N4=4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3">
      <x:c r="A3" s="14" t="str">
        <x:v>ID_Area</x:v>
      </x:c>
      <x:c r="B3" s="14" t="str">
        <x:v>ID_Familia</x:v>
      </x:c>
      <x:c r="C3" s="14" t="str">
        <x:v>Familia</x:v>
      </x:c>
      <x:c r="D3" s="14" t="str">
        <x:v>UPM</x:v>
      </x:c>
      <x:c r="E3" s="14" t="str">
        <x:v>USAL</x:v>
      </x:c>
      <x:c r="F3" s="14" t="str">
        <x:v>UPC</x:v>
      </x:c>
      <x:c r="G3" s="14" t="str">
        <x:v>UCO</x:v>
      </x:c>
      <x:c r="H3" s="14" t="str">
        <x:v>UMH</x:v>
      </x:c>
      <x:c r="I3" s="14" t="str">
        <x:v>IPLEIRIA</x:v>
      </x:c>
      <x:c r="J3" s="14" t="str">
        <x:v>ISA</x:v>
      </x:c>
      <x:c r="K3" s="14" t="str">
        <x:v>ESAV</x:v>
      </x:c>
      <x:c r="L3" s="14" t="str">
        <x:v>UNIBO</x:v>
      </x:c>
      <x:c r="M3" s="14" t="str">
        <x:v>UNIFG</x:v>
      </x:c>
      <x:c r="N3" s="14" t="str">
        <x:v>UNICUSANO</x:v>
      </x:c>
      <x:c r="O3" s="14" t="str">
        <x:v>HOHENHEIM</x:v>
      </x:c>
      <x:c r="P3" s="14" t="str">
        <x:v>TUM</x:v>
      </x:c>
    </x:row>
    <x:row r="4">
      <x:c r="A4" t="str">
        <x:v>A00</x:v>
      </x:c>
      <x:c r="B4" t="str">
        <x:v>F0001</x:v>
      </x:c>
      <x:c r="C4" t="str">
        <x:v>Optatividad / grupo de elección</x:v>
      </x:c>
      <x:c r="D4"/>
      <x:c r="E4"/>
      <x:c r="F4"/>
      <x:c r="G4"/>
      <x:c r="H4"/>
      <x:c r="I4"/>
      <x:c r="J4"/>
      <x:c r="K4"/>
      <x:c r="L4"/>
      <x:c r="M4"/>
      <x:c r="N4"/>
      <x:c r="O4"/>
      <x:c r="P4" t="n">
        <x:v>1</x:v>
      </x:c>
    </x:row>
    <x:row r="5">
      <x:c r="A5" t="str">
        <x:v>A00</x:v>
      </x:c>
      <x:c r="B5" t="str">
        <x:v>F0002</x:v>
      </x:c>
      <x:c r="C5" t="str">
        <x:v>Especialización / parcours no desagregado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</x:row>
    <x:row r="6">
      <x:c r="A6" t="str">
        <x:v>A01</x:v>
      </x:c>
      <x:c r="B6" t="str">
        <x:v>F0101</x:v>
      </x:c>
      <x:c r="C6" t="str">
        <x:v>Cálculo y matemática general</x:v>
      </x:c>
      <x:c r="D6" t="n">
        <x:v>1</x:v>
      </x:c>
      <x:c r="E6" t="n">
        <x:v>1</x:v>
      </x:c>
      <x:c r="F6" t="n">
        <x:v>1</x:v>
      </x:c>
      <x:c r="G6" t="n">
        <x:v>1</x:v>
      </x:c>
      <x:c r="H6" t="n">
        <x:v>1</x:v>
      </x:c>
      <x:c r="I6" t="n">
        <x:v>1</x:v>
      </x:c>
      <x:c r="J6" t="n">
        <x:v>1</x:v>
      </x:c>
      <x:c r="K6" t="n">
        <x:v>1</x:v>
      </x:c>
      <x:c r="L6" t="n">
        <x:v>1</x:v>
      </x:c>
      <x:c r="M6" t="n">
        <x:v>1</x:v>
      </x:c>
      <x:c r="N6" t="n">
        <x:v>1</x:v>
      </x:c>
      <x:c r="O6" t="n">
        <x:v>1</x:v>
      </x:c>
      <x:c r="P6" t="n">
        <x:v>1</x:v>
      </x:c>
    </x:row>
    <x:row r="7">
      <x:c r="A7" t="str">
        <x:v>A01</x:v>
      </x:c>
      <x:c r="B7" t="str">
        <x:v>F0102</x:v>
      </x:c>
      <x:c r="C7" t="str">
        <x:v>Álgebra lineal y geometría</x:v>
      </x:c>
      <x:c r="D7"/>
      <x:c r="E7"/>
      <x:c r="F7"/>
      <x:c r="G7"/>
      <x:c r="H7"/>
      <x:c r="I7" t="n">
        <x:v>1</x:v>
      </x:c>
      <x:c r="J7" t="n">
        <x:v>1</x:v>
      </x:c>
      <x:c r="K7"/>
      <x:c r="L7"/>
      <x:c r="M7"/>
      <x:c r="N7" t="n">
        <x:v>1</x:v>
      </x:c>
      <x:c r="O7"/>
      <x:c r="P7"/>
    </x:row>
    <x:row r="8">
      <x:c r="A8" t="str">
        <x:v>A01</x:v>
      </x:c>
      <x:c r="B8" t="str">
        <x:v>F0103</x:v>
      </x:c>
      <x:c r="C8" t="str">
        <x:v>Ecuaciones diferenciales y modelización matemática</x:v>
      </x:c>
      <x:c r="D8" t="n">
        <x:v>1</x:v>
      </x:c>
      <x:c r="E8"/>
      <x:c r="F8"/>
      <x:c r="G8"/>
      <x:c r="H8"/>
      <x:c r="I8"/>
      <x:c r="J8"/>
      <x:c r="K8"/>
      <x:c r="L8"/>
      <x:c r="M8"/>
      <x:c r="N8"/>
      <x:c r="O8"/>
      <x:c r="P8"/>
    </x:row>
    <x:row r="9">
      <x:c r="A9" t="str">
        <x:v>A01</x:v>
      </x:c>
      <x:c r="B9" t="str">
        <x:v>F0104</x:v>
      </x:c>
      <x:c r="C9" t="str">
        <x:v>Estadística y probabilidad</x:v>
      </x:c>
      <x:c r="D9" t="n">
        <x:v>1</x:v>
      </x:c>
      <x:c r="E9" t="n">
        <x:v>1</x:v>
      </x:c>
      <x:c r="F9" t="n">
        <x:v>1</x:v>
      </x:c>
      <x:c r="G9" t="n">
        <x:v>1</x:v>
      </x:c>
      <x:c r="H9" t="n">
        <x:v>1</x:v>
      </x:c>
      <x:c r="I9"/>
      <x:c r="J9" t="n">
        <x:v>1</x:v>
      </x:c>
      <x:c r="K9"/>
      <x:c r="L9"/>
      <x:c r="M9"/>
      <x:c r="N9" t="n">
        <x:v>1</x:v>
      </x:c>
      <x:c r="O9" t="n">
        <x:v>1</x:v>
      </x:c>
      <x:c r="P9" t="n">
        <x:v>1</x:v>
      </x:c>
    </x:row>
    <x:row r="10">
      <x:c r="A10" t="str">
        <x:v>A01</x:v>
      </x:c>
      <x:c r="B10" t="str">
        <x:v>F0105</x:v>
      </x:c>
      <x:c r="C10" t="str">
        <x:v>Diseño experimental y análisis multivariante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</x:row>
    <x:row r="11">
      <x:c r="A11" t="str">
        <x:v>A01</x:v>
      </x:c>
      <x:c r="B11" t="str">
        <x:v>F0106</x:v>
      </x:c>
      <x:c r="C11" t="str">
        <x:v>Métodos numéricos y programación</x:v>
      </x:c>
      <x:c r="D11" t="n">
        <x:v>1</x:v>
      </x:c>
      <x:c r="E11"/>
      <x:c r="F11"/>
      <x:c r="G11"/>
      <x:c r="H11"/>
      <x:c r="I11"/>
      <x:c r="J11" t="n">
        <x:v>1</x:v>
      </x:c>
      <x:c r="K11"/>
      <x:c r="L11"/>
      <x:c r="M11"/>
      <x:c r="N11"/>
      <x:c r="O11"/>
      <x:c r="P11"/>
    </x:row>
    <x:row r="12">
      <x:c r="A12" t="str">
        <x:v>A01</x:v>
      </x:c>
      <x:c r="B12" t="str">
        <x:v>F0107</x:v>
      </x:c>
      <x:c r="C12" t="str">
        <x:v>Informática, bases de datos y software</x:v>
      </x:c>
      <x:c r="D12"/>
      <x:c r="E12" t="n">
        <x:v>1</x:v>
      </x:c>
      <x:c r="F12"/>
      <x:c r="G12" t="n">
        <x:v>1</x:v>
      </x:c>
      <x:c r="H12" t="n">
        <x:v>1</x:v>
      </x:c>
      <x:c r="I12"/>
      <x:c r="J12" t="n">
        <x:v>1</x:v>
      </x:c>
      <x:c r="K12" t="n">
        <x:v>1</x:v>
      </x:c>
      <x:c r="L12"/>
      <x:c r="M12"/>
      <x:c r="N12" t="n">
        <x:v>1</x:v>
      </x:c>
      <x:c r="O12" t="n">
        <x:v>1</x:v>
      </x:c>
      <x:c r="P12"/>
    </x:row>
    <x:row r="13">
      <x:c r="A13" t="str">
        <x:v>A01</x:v>
      </x:c>
      <x:c r="B13" t="str">
        <x:v>F0108</x:v>
      </x:c>
      <x:c r="C13" t="str">
        <x:v>Ciencia de datos, IA y analítica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</x:row>
    <x:row r="14">
      <x:c r="A14" t="str">
        <x:v>A02</x:v>
      </x:c>
      <x:c r="B14" t="str">
        <x:v>F0201</x:v>
      </x:c>
      <x:c r="C14" t="str">
        <x:v>Física general y aplicada</x:v>
      </x:c>
      <x:c r="D14" t="n">
        <x:v>1</x:v>
      </x:c>
      <x:c r="E14" t="n">
        <x:v>1</x:v>
      </x:c>
      <x:c r="F14" t="n">
        <x:v>1</x:v>
      </x:c>
      <x:c r="G14" t="n">
        <x:v>1</x:v>
      </x:c>
      <x:c r="H14" t="n">
        <x:v>1</x:v>
      </x:c>
      <x:c r="I14" t="n">
        <x:v>1</x:v>
      </x:c>
      <x:c r="J14" t="n">
        <x:v>1</x:v>
      </x:c>
      <x:c r="K14" t="n">
        <x:v>1</x:v>
      </x:c>
      <x:c r="L14" t="n">
        <x:v>1</x:v>
      </x:c>
      <x:c r="M14" t="n">
        <x:v>1</x:v>
      </x:c>
      <x:c r="N14" t="n">
        <x:v>1</x:v>
      </x:c>
      <x:c r="O14" t="n">
        <x:v>1</x:v>
      </x:c>
      <x:c r="P14" t="n">
        <x:v>1</x:v>
      </x:c>
    </x:row>
    <x:row r="15">
      <x:c r="A15" t="str">
        <x:v>A02</x:v>
      </x:c>
      <x:c r="B15" t="str">
        <x:v>F0202</x:v>
      </x:c>
      <x:c r="C15" t="str">
        <x:v>Química general e inorgánica</x:v>
      </x:c>
      <x:c r="D15" t="n">
        <x:v>1</x:v>
      </x:c>
      <x:c r="E15" t="n">
        <x:v>1</x:v>
      </x:c>
      <x:c r="F15" t="n">
        <x:v>1</x:v>
      </x:c>
      <x:c r="G15" t="n">
        <x:v>1</x:v>
      </x:c>
      <x:c r="H15" t="n">
        <x:v>1</x:v>
      </x:c>
      <x:c r="I15" t="n">
        <x:v>1</x:v>
      </x:c>
      <x:c r="J15" t="n">
        <x:v>1</x:v>
      </x:c>
      <x:c r="K15" t="n">
        <x:v>1</x:v>
      </x:c>
      <x:c r="L15" t="n">
        <x:v>1</x:v>
      </x:c>
      <x:c r="M15" t="n">
        <x:v>1</x:v>
      </x:c>
      <x:c r="N15" t="n">
        <x:v>1</x:v>
      </x:c>
      <x:c r="O15" t="n">
        <x:v>1</x:v>
      </x:c>
      <x:c r="P15" t="n">
        <x:v>1</x:v>
      </x:c>
    </x:row>
    <x:row r="16">
      <x:c r="A16" t="str">
        <x:v>A02</x:v>
      </x:c>
      <x:c r="B16" t="str">
        <x:v>F0203</x:v>
      </x:c>
      <x:c r="C16" t="str">
        <x:v>Química orgánica</x:v>
      </x:c>
      <x:c r="D16"/>
      <x:c r="E16"/>
      <x:c r="F16"/>
      <x:c r="G16"/>
      <x:c r="H16"/>
      <x:c r="I16"/>
      <x:c r="J16" t="n">
        <x:v>1</x:v>
      </x:c>
      <x:c r="K16" t="n">
        <x:v>1</x:v>
      </x:c>
      <x:c r="L16" t="n">
        <x:v>1</x:v>
      </x:c>
      <x:c r="M16" t="n">
        <x:v>1</x:v>
      </x:c>
      <x:c r="N16"/>
      <x:c r="O16" t="n">
        <x:v>1</x:v>
      </x:c>
      <x:c r="P16"/>
    </x:row>
    <x:row r="17">
      <x:c r="A17" t="str">
        <x:v>A02</x:v>
      </x:c>
      <x:c r="B17" t="str">
        <x:v>F0204</x:v>
      </x:c>
      <x:c r="C17" t="str">
        <x:v>Fisicoquímica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>
      <x:c r="A18" t="str">
        <x:v>A02</x:v>
      </x:c>
      <x:c r="B18" t="str">
        <x:v>F0205</x:v>
      </x:c>
      <x:c r="C18" t="str">
        <x:v>Química analítica general</x:v>
      </x:c>
      <x:c r="D18"/>
      <x:c r="E18"/>
      <x:c r="F18"/>
      <x:c r="G18"/>
      <x:c r="H18"/>
      <x:c r="I18"/>
      <x:c r="J18"/>
      <x:c r="K18"/>
      <x:c r="L18"/>
      <x:c r="M18" t="n">
        <x:v>1</x:v>
      </x:c>
      <x:c r="N18"/>
      <x:c r="O18"/>
      <x:c r="P18"/>
    </x:row>
    <x:row r="19">
      <x:c r="A19" t="str">
        <x:v>A03</x:v>
      </x:c>
      <x:c r="B19" t="str">
        <x:v>F0301</x:v>
      </x:c>
      <x:c r="C19" t="str">
        <x:v>Biología y fisiología</x:v>
      </x:c>
      <x:c r="D19" t="n">
        <x:v>1</x:v>
      </x:c>
      <x:c r="E19" t="n">
        <x:v>1</x:v>
      </x:c>
      <x:c r="F19" t="n">
        <x:v>1</x:v>
      </x:c>
      <x:c r="G19" t="n">
        <x:v>1</x:v>
      </x:c>
      <x:c r="H19" t="n">
        <x:v>1</x:v>
      </x:c>
      <x:c r="I19"/>
      <x:c r="J19" t="n">
        <x:v>1</x:v>
      </x:c>
      <x:c r="K19"/>
      <x:c r="L19" t="n">
        <x:v>1</x:v>
      </x:c>
      <x:c r="M19" t="n">
        <x:v>1</x:v>
      </x:c>
      <x:c r="N19"/>
      <x:c r="O19" t="n">
        <x:v>1</x:v>
      </x:c>
      <x:c r="P19" t="n">
        <x:v>1</x:v>
      </x:c>
    </x:row>
    <x:row r="20">
      <x:c r="A20" t="str">
        <x:v>A03</x:v>
      </x:c>
      <x:c r="B20" t="str">
        <x:v>F0302</x:v>
      </x:c>
      <x:c r="C20" t="str">
        <x:v>Bioquímica y metabolismo</x:v>
      </x:c>
      <x:c r="D20" t="n">
        <x:v>1</x:v>
      </x:c>
      <x:c r="E20"/>
      <x:c r="F20" t="n">
        <x:v>1</x:v>
      </x:c>
      <x:c r="G20" t="n">
        <x:v>1</x:v>
      </x:c>
      <x:c r="H20"/>
      <x:c r="I20" t="n">
        <x:v>1</x:v>
      </x:c>
      <x:c r="J20" t="n">
        <x:v>1</x:v>
      </x:c>
      <x:c r="K20" t="n">
        <x:v>1</x:v>
      </x:c>
      <x:c r="L20" t="n">
        <x:v>1</x:v>
      </x:c>
      <x:c r="M20" t="n">
        <x:v>1</x:v>
      </x:c>
      <x:c r="N20" t="n">
        <x:v>1</x:v>
      </x:c>
      <x:c r="O20"/>
      <x:c r="P20"/>
    </x:row>
    <x:row r="21">
      <x:c r="A21" t="str">
        <x:v>A03</x:v>
      </x:c>
      <x:c r="B21" t="str">
        <x:v>F0303</x:v>
      </x:c>
      <x:c r="C21" t="str">
        <x:v>Microbiología general</x:v>
      </x:c>
      <x:c r="D21"/>
      <x:c r="E21" t="n">
        <x:v>1</x:v>
      </x:c>
      <x:c r="F21" t="n">
        <x:v>1</x:v>
      </x:c>
      <x:c r="G21" t="n">
        <x:v>1</x:v>
      </x:c>
      <x:c r="H21"/>
      <x:c r="I21" t="n">
        <x:v>1</x:v>
      </x:c>
      <x:c r="J21" t="n">
        <x:v>1</x:v>
      </x:c>
      <x:c r="K21" t="n">
        <x:v>1</x:v>
      </x:c>
      <x:c r="L21" t="n">
        <x:v>1</x:v>
      </x:c>
      <x:c r="M21" t="n">
        <x:v>1</x:v>
      </x:c>
      <x:c r="N21"/>
      <x:c r="O21" t="n">
        <x:v>1</x:v>
      </x:c>
      <x:c r="P21" t="n">
        <x:v>1</x:v>
      </x:c>
    </x:row>
    <x:row r="22">
      <x:c r="A22" t="str">
        <x:v>A03</x:v>
      </x:c>
      <x:c r="B22" t="str">
        <x:v>F0304</x:v>
      </x:c>
      <x:c r="C22" t="str">
        <x:v>Microbiología alimentaria e industrial</x:v>
      </x:c>
      <x:c r="D22" t="n">
        <x:v>1</x:v>
      </x:c>
      <x:c r="E22"/>
      <x:c r="F22"/>
      <x:c r="G22"/>
      <x:c r="H22"/>
      <x:c r="I22"/>
      <x:c r="J22"/>
      <x:c r="K22"/>
      <x:c r="L22"/>
      <x:c r="M22"/>
      <x:c r="N22"/>
      <x:c r="O22" t="n">
        <x:v>1</x:v>
      </x:c>
      <x:c r="P22" t="n">
        <x:v>1</x:v>
      </x:c>
    </x:row>
    <x:row r="23">
      <x:c r="A23" t="str">
        <x:v>A03</x:v>
      </x:c>
      <x:c r="B23" t="str">
        <x:v>F0305</x:v>
      </x:c>
      <x:c r="C23" t="str">
        <x:v>Biotecnología y biología molecular</x:v>
      </x:c>
      <x:c r="D23"/>
      <x:c r="E23"/>
      <x:c r="F23"/>
      <x:c r="G23"/>
      <x:c r="H23"/>
      <x:c r="I23"/>
      <x:c r="J23" t="n">
        <x:v>1</x:v>
      </x:c>
      <x:c r="K23" t="n">
        <x:v>1</x:v>
      </x:c>
      <x:c r="L23"/>
      <x:c r="M23"/>
      <x:c r="N23"/>
      <x:c r="O23" t="n">
        <x:v>1</x:v>
      </x:c>
      <x:c r="P23"/>
    </x:row>
    <x:row r="24">
      <x:c r="A24" t="str">
        <x:v>A03</x:v>
      </x:c>
      <x:c r="B24" t="str">
        <x:v>F0306</x:v>
      </x:c>
      <x:c r="C24" t="str">
        <x:v>Bioprocesos y bioproducción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>
      <x:c r="A25" t="str">
        <x:v>A04</x:v>
      </x:c>
      <x:c r="B25" t="str">
        <x:v>F0401</x:v>
      </x:c>
      <x:c r="C25" t="str">
        <x:v>Termodinámica</x:v>
      </x:c>
      <x:c r="D25"/>
      <x:c r="E25"/>
      <x:c r="F25"/>
      <x:c r="G25"/>
      <x:c r="H25"/>
      <x:c r="I25"/>
      <x:c r="J25" t="n">
        <x:v>1</x:v>
      </x:c>
      <x:c r="K25"/>
      <x:c r="L25"/>
      <x:c r="M25"/>
      <x:c r="N25" t="n">
        <x:v>1</x:v>
      </x:c>
      <x:c r="O25"/>
      <x:c r="P25" t="n">
        <x:v>1</x:v>
      </x:c>
    </x:row>
    <x:row r="26">
      <x:c r="A26" t="str">
        <x:v>A04</x:v>
      </x:c>
      <x:c r="B26" t="str">
        <x:v>F0402</x:v>
      </x:c>
      <x:c r="C26" t="str">
        <x:v>Mecánica de fluidos e hidráulica</x:v>
      </x:c>
      <x:c r="D26"/>
      <x:c r="E26" t="n">
        <x:v>1</x:v>
      </x:c>
      <x:c r="F26" t="n">
        <x:v>1</x:v>
      </x:c>
      <x:c r="G26" t="n">
        <x:v>1</x:v>
      </x:c>
      <x:c r="H26" t="n">
        <x:v>1</x:v>
      </x:c>
      <x:c r="I26"/>
      <x:c r="J26"/>
      <x:c r="K26"/>
      <x:c r="L26"/>
      <x:c r="M26"/>
      <x:c r="N26"/>
      <x:c r="O26"/>
      <x:c r="P26" t="n">
        <x:v>1</x:v>
      </x:c>
    </x:row>
    <x:row r="27">
      <x:c r="A27" t="str">
        <x:v>A04</x:v>
      </x:c>
      <x:c r="B27" t="str">
        <x:v>F0403</x:v>
      </x:c>
      <x:c r="C27" t="str">
        <x:v>Transferencia de calor</x:v>
      </x:c>
      <x:c r="D27" t="n">
        <x:v>1</x:v>
      </x:c>
      <x:c r="E27"/>
      <x:c r="F27"/>
      <x:c r="G27"/>
      <x:c r="H27"/>
      <x:c r="I27"/>
      <x:c r="J27" t="n">
        <x:v>1</x:v>
      </x:c>
      <x:c r="K27" t="n">
        <x:v>1</x:v>
      </x:c>
      <x:c r="L27"/>
      <x:c r="M27"/>
      <x:c r="N27"/>
      <x:c r="O27"/>
      <x:c r="P27"/>
    </x:row>
    <x:row r="28">
      <x:c r="A28" t="str">
        <x:v>A04</x:v>
      </x:c>
      <x:c r="B28" t="str">
        <x:v>F0404</x:v>
      </x:c>
      <x:c r="C28" t="str">
        <x:v>Transferencia de masa</x:v>
      </x:c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>
      <x:c r="A29" t="str">
        <x:v>A04</x:v>
      </x:c>
      <x:c r="B29" t="str">
        <x:v>F0405</x:v>
      </x:c>
      <x:c r="C29" t="str">
        <x:v>Mecánica, resistencia y materiales</x:v>
      </x:c>
      <x:c r="D29" t="n">
        <x:v>1</x:v>
      </x:c>
      <x:c r="E29"/>
      <x:c r="F29"/>
      <x:c r="G29" t="n">
        <x:v>1</x:v>
      </x:c>
      <x:c r="H29"/>
      <x:c r="I29"/>
      <x:c r="J29"/>
      <x:c r="K29"/>
      <x:c r="L29"/>
      <x:c r="M29"/>
      <x:c r="N29" t="n">
        <x:v>1</x:v>
      </x:c>
      <x:c r="O29"/>
      <x:c r="P29" t="n">
        <x:v>1</x:v>
      </x:c>
    </x:row>
    <x:row r="30">
      <x:c r="A30" t="str">
        <x:v>A04</x:v>
      </x:c>
      <x:c r="B30" t="str">
        <x:v>F0406</x:v>
      </x:c>
      <x:c r="C30" t="str">
        <x:v>Estructuras y construcción básica</x:v>
      </x:c>
      <x:c r="D30" t="n">
        <x:v>1</x:v>
      </x:c>
      <x:c r="E30" t="n">
        <x:v>1</x:v>
      </x:c>
      <x:c r="F30" t="n">
        <x:v>1</x:v>
      </x:c>
      <x:c r="G30"/>
      <x:c r="H30" t="n">
        <x:v>1</x:v>
      </x:c>
      <x:c r="I30"/>
      <x:c r="J30"/>
      <x:c r="K30"/>
      <x:c r="L30"/>
      <x:c r="M30"/>
      <x:c r="N30"/>
      <x:c r="O30"/>
      <x:c r="P30"/>
    </x:row>
    <x:row r="31">
      <x:c r="A31" t="str">
        <x:v>A04</x:v>
      </x:c>
      <x:c r="B31" t="str">
        <x:v>F0407</x:v>
      </x:c>
      <x:c r="C31" t="str">
        <x:v>Electrotecnia y electrónica</x:v>
      </x:c>
      <x:c r="D31" t="n">
        <x:v>2</x:v>
      </x:c>
      <x:c r="E31" t="n">
        <x:v>1</x:v>
      </x:c>
      <x:c r="F31"/>
      <x:c r="G31" t="n">
        <x:v>1</x:v>
      </x:c>
      <x:c r="H31" t="n">
        <x:v>1</x:v>
      </x:c>
      <x:c r="I31"/>
      <x:c r="J31"/>
      <x:c r="K31"/>
      <x:c r="L31"/>
      <x:c r="M31"/>
      <x:c r="N31"/>
      <x:c r="O31"/>
      <x:c r="P31" t="n">
        <x:v>1</x:v>
      </x:c>
    </x:row>
    <x:row r="32">
      <x:c r="A32" t="str">
        <x:v>A05</x:v>
      </x:c>
      <x:c r="B32" t="str">
        <x:v>F0501</x:v>
      </x:c>
      <x:c r="C32" t="str">
        <x:v>Balances de materia y energía</x:v>
      </x:c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  <x:row r="33">
      <x:c r="A33" t="str">
        <x:v>A05</x:v>
      </x:c>
      <x:c r="B33" t="str">
        <x:v>F0502</x:v>
      </x:c>
      <x:c r="C33" t="str">
        <x:v>Operaciones unitarias generales</x:v>
      </x:c>
      <x:c r="D33" t="n">
        <x:v>2</x:v>
      </x:c>
      <x:c r="E33" t="n">
        <x:v>2</x:v>
      </x:c>
      <x:c r="F33" t="n">
        <x:v>2</x:v>
      </x:c>
      <x:c r="G33" t="n">
        <x:v>2</x:v>
      </x:c>
      <x:c r="H33" t="n">
        <x:v>2</x:v>
      </x:c>
      <x:c r="I33" t="n">
        <x:v>2</x:v>
      </x:c>
      <x:c r="J33"/>
      <x:c r="K33" t="n">
        <x:v>2</x:v>
      </x:c>
      <x:c r="L33" t="n">
        <x:v>2</x:v>
      </x:c>
      <x:c r="M33" t="n">
        <x:v>2</x:v>
      </x:c>
      <x:c r="N33" t="n">
        <x:v>2</x:v>
      </x:c>
      <x:c r="O33" t="n">
        <x:v>2</x:v>
      </x:c>
      <x:c r="P33"/>
    </x:row>
    <x:row r="34">
      <x:c r="A34" t="str">
        <x:v>A05</x:v>
      </x:c>
      <x:c r="B34" t="str">
        <x:v>F0503</x:v>
      </x:c>
      <x:c r="C34" t="str">
        <x:v>Tratamientos térmicos y esterilización</x:v>
      </x:c>
      <x:c r="D34"/>
      <x:c r="E34"/>
      <x:c r="F34"/>
      <x:c r="G34"/>
      <x:c r="H34"/>
      <x:c r="I34"/>
      <x:c r="J34"/>
      <x:c r="K34"/>
      <x:c r="L34"/>
      <x:c r="M34"/>
      <x:c r="N34"/>
      <x:c r="O34"/>
      <x:c r="P34"/>
    </x:row>
    <x:row r="35">
      <x:c r="A35" t="str">
        <x:v>A05</x:v>
      </x:c>
      <x:c r="B35" t="str">
        <x:v>F0504</x:v>
      </x:c>
      <x:c r="C35" t="str">
        <x:v>Refrigeración, congelación y cadena de frío</x:v>
      </x:c>
      <x:c r="D35" t="n">
        <x:v>2</x:v>
      </x:c>
      <x:c r="E35"/>
      <x:c r="F35"/>
      <x:c r="G35"/>
      <x:c r="H35" t="n">
        <x:v>2</x:v>
      </x:c>
      <x:c r="I35"/>
      <x:c r="J35"/>
      <x:c r="K35"/>
      <x:c r="L35"/>
      <x:c r="M35"/>
      <x:c r="N35"/>
      <x:c r="O35"/>
      <x:c r="P35"/>
    </x:row>
    <x:row r="36">
      <x:c r="A36" t="str">
        <x:v>A05</x:v>
      </x:c>
      <x:c r="B36" t="str">
        <x:v>F0505</x:v>
      </x:c>
      <x:c r="C36" t="str">
        <x:v>Secado y deshidratación</x:v>
      </x:c>
      <x:c r="D36"/>
      <x:c r="E36"/>
      <x:c r="F36"/>
      <x:c r="G36"/>
      <x:c r="H36"/>
      <x:c r="I36"/>
      <x:c r="J36"/>
      <x:c r="K36"/>
      <x:c r="L36"/>
      <x:c r="M36"/>
      <x:c r="N36"/>
      <x:c r="O36"/>
      <x:c r="P36"/>
    </x:row>
    <x:row r="37">
      <x:c r="A37" t="str">
        <x:v>A05</x:v>
      </x:c>
      <x:c r="B37" t="str">
        <x:v>F0506</x:v>
      </x:c>
      <x:c r="C37" t="str">
        <x:v>Evaporación y concentración</x:v>
      </x:c>
      <x:c r="D37"/>
      <x:c r="E37"/>
      <x:c r="F37"/>
      <x:c r="G37"/>
      <x:c r="H37"/>
      <x:c r="I37"/>
      <x:c r="J37"/>
      <x:c r="K37"/>
      <x:c r="L37"/>
      <x:c r="M37"/>
      <x:c r="N37"/>
      <x:c r="O37"/>
      <x:c r="P37"/>
    </x:row>
    <x:row r="38">
      <x:c r="A38" t="str">
        <x:v>A05</x:v>
      </x:c>
      <x:c r="B38" t="str">
        <x:v>F0507</x:v>
      </x:c>
      <x:c r="C38" t="str">
        <x:v>Destilación, extracción y absorción</x:v>
      </x:c>
      <x:c r="D38"/>
      <x:c r="E38"/>
      <x:c r="F38"/>
      <x:c r="G38"/>
      <x:c r="H38"/>
      <x:c r="I38"/>
      <x:c r="J38"/>
      <x:c r="K38"/>
      <x:c r="L38"/>
      <x:c r="M38"/>
      <x:c r="N38"/>
      <x:c r="O38"/>
      <x:c r="P38"/>
    </x:row>
    <x:row r="39">
      <x:c r="A39" t="str">
        <x:v>A05</x:v>
      </x:c>
      <x:c r="B39" t="str">
        <x:v>F0508</x:v>
      </x:c>
      <x:c r="C39" t="str">
        <x:v>Membranas y separaciones avanzadas</x:v>
      </x:c>
      <x:c r="D39"/>
      <x:c r="E39"/>
      <x:c r="F39"/>
      <x:c r="G39"/>
      <x:c r="H39"/>
      <x:c r="I39"/>
      <x:c r="J39"/>
      <x:c r="K39"/>
      <x:c r="L39"/>
      <x:c r="M39"/>
      <x:c r="N39"/>
      <x:c r="O39"/>
      <x:c r="P39"/>
    </x:row>
    <x:row r="40">
      <x:c r="A40" t="str">
        <x:v>A05</x:v>
      </x:c>
      <x:c r="B40" t="str">
        <x:v>F0509</x:v>
      </x:c>
      <x:c r="C40" t="str">
        <x:v>Ingeniería de reactores y cinética</x:v>
      </x:c>
      <x:c r="D40"/>
      <x:c r="E40"/>
      <x:c r="F40"/>
      <x:c r="G40"/>
      <x:c r="H40"/>
      <x:c r="I40"/>
      <x:c r="J40"/>
      <x:c r="K40"/>
      <x:c r="L40"/>
      <x:c r="M40"/>
      <x:c r="N40"/>
      <x:c r="O40"/>
      <x:c r="P40"/>
    </x:row>
    <x:row r="41">
      <x:c r="A41" t="str">
        <x:v>A05</x:v>
      </x:c>
      <x:c r="B41" t="str">
        <x:v>F0510</x:v>
      </x:c>
      <x:c r="C41" t="str">
        <x:v>Modelización, simulación y optimización de procesos</x:v>
      </x:c>
      <x:c r="D41"/>
      <x:c r="E41"/>
      <x:c r="F41"/>
      <x:c r="G41"/>
      <x:c r="H41"/>
      <x:c r="I41"/>
      <x:c r="J41"/>
      <x:c r="K41"/>
      <x:c r="L41"/>
      <x:c r="M41"/>
      <x:c r="N41"/>
      <x:c r="O41"/>
      <x:c r="P41"/>
    </x:row>
    <x:row r="42">
      <x:c r="A42" t="str">
        <x:v>A06</x:v>
      </x:c>
      <x:c r="B42" t="str">
        <x:v>F0601</x:v>
      </x:c>
      <x:c r="C42" t="str">
        <x:v>Química y bioquímica de alimentos</x:v>
      </x:c>
      <x:c r="D42"/>
      <x:c r="E42" t="n">
        <x:v>2</x:v>
      </x:c>
      <x:c r="F42"/>
      <x:c r="G42"/>
      <x:c r="H42"/>
      <x:c r="I42" t="n">
        <x:v>2</x:v>
      </x:c>
      <x:c r="J42" t="n">
        <x:v>2</x:v>
      </x:c>
      <x:c r="K42" t="n">
        <x:v>2</x:v>
      </x:c>
      <x:c r="L42" t="n">
        <x:v>2</x:v>
      </x:c>
      <x:c r="M42"/>
      <x:c r="N42"/>
      <x:c r="O42" t="n">
        <x:v>2</x:v>
      </x:c>
      <x:c r="P42" t="n">
        <x:v>2</x:v>
      </x:c>
    </x:row>
    <x:row r="43">
      <x:c r="A43" t="str">
        <x:v>A06</x:v>
      </x:c>
      <x:c r="B43" t="str">
        <x:v>F0602</x:v>
      </x:c>
      <x:c r="C43" t="str">
        <x:v>Física, reología y estructura de alimentos</x:v>
      </x:c>
      <x:c r="D43"/>
      <x:c r="E43"/>
      <x:c r="F43"/>
      <x:c r="G43"/>
      <x:c r="H43"/>
      <x:c r="I43" t="n">
        <x:v>2</x:v>
      </x:c>
      <x:c r="J43" t="n">
        <x:v>2</x:v>
      </x:c>
      <x:c r="K43" t="n">
        <x:v>2</x:v>
      </x:c>
      <x:c r="L43"/>
      <x:c r="M43"/>
      <x:c r="N43"/>
      <x:c r="O43" t="n">
        <x:v>1</x:v>
      </x:c>
      <x:c r="P43"/>
    </x:row>
    <x:row r="44">
      <x:c r="A44" t="str">
        <x:v>A06</x:v>
      </x:c>
      <x:c r="B44" t="str">
        <x:v>F0603</x:v>
      </x:c>
      <x:c r="C44" t="str">
        <x:v>Ingredientes y funcionalidad tecnológica</x:v>
      </x:c>
      <x:c r="D44"/>
      <x:c r="E44"/>
      <x:c r="F44"/>
      <x:c r="G44"/>
      <x:c r="H44"/>
      <x:c r="I44"/>
      <x:c r="J44"/>
      <x:c r="K44" t="n">
        <x:v>2</x:v>
      </x:c>
      <x:c r="L44" t="n">
        <x:v>2</x:v>
      </x:c>
      <x:c r="M44"/>
      <x:c r="N44"/>
      <x:c r="O44"/>
      <x:c r="P44"/>
    </x:row>
    <x:row r="45">
      <x:c r="A45" t="str">
        <x:v>A06</x:v>
      </x:c>
      <x:c r="B45" t="str">
        <x:v>F0604</x:v>
      </x:c>
      <x:c r="C45" t="str">
        <x:v>Tecnología / procesamiento general de alimentos</x:v>
      </x:c>
      <x:c r="D45"/>
      <x:c r="E45" t="n">
        <x:v>2</x:v>
      </x:c>
      <x:c r="F45" t="n">
        <x:v>2</x:v>
      </x:c>
      <x:c r="G45"/>
      <x:c r="H45"/>
      <x:c r="I45" t="n">
        <x:v>2</x:v>
      </x:c>
      <x:c r="J45" t="n">
        <x:v>2</x:v>
      </x:c>
      <x:c r="K45"/>
      <x:c r="L45" t="n">
        <x:v>2</x:v>
      </x:c>
      <x:c r="M45" t="n">
        <x:v>2</x:v>
      </x:c>
      <x:c r="N45"/>
      <x:c r="O45" t="n">
        <x:v>1</x:v>
      </x:c>
      <x:c r="P45" t="n">
        <x:v>2</x:v>
      </x:c>
    </x:row>
    <x:row r="46">
      <x:c r="A46" t="str">
        <x:v>A06</x:v>
      </x:c>
      <x:c r="B46" t="str">
        <x:v>F0605</x:v>
      </x:c>
      <x:c r="C46" t="str">
        <x:v>Conservación de alimentos y tecnologías emergentes</x:v>
      </x:c>
      <x:c r="D46" t="n">
        <x:v>2</x:v>
      </x:c>
      <x:c r="E46" t="n">
        <x:v>2</x:v>
      </x:c>
      <x:c r="F46"/>
      <x:c r="G46"/>
      <x:c r="H46" t="n">
        <x:v>2</x:v>
      </x:c>
      <x:c r="I46" t="n">
        <x:v>2</x:v>
      </x:c>
      <x:c r="J46"/>
      <x:c r="K46" t="n">
        <x:v>2</x:v>
      </x:c>
      <x:c r="L46"/>
      <x:c r="M46"/>
      <x:c r="N46"/>
      <x:c r="O46"/>
      <x:c r="P46"/>
    </x:row>
    <x:row r="47">
      <x:c r="A47" t="str">
        <x:v>A06</x:v>
      </x:c>
      <x:c r="B47" t="str">
        <x:v>F0606</x:v>
      </x:c>
      <x:c r="C47" t="str">
        <x:v>Formulación y diseño tecnológico del alimento</x:v>
      </x:c>
      <x:c r="D47"/>
      <x:c r="E47"/>
      <x:c r="F47"/>
      <x:c r="G47"/>
      <x:c r="H47"/>
      <x:c r="I47"/>
      <x:c r="J47"/>
      <x:c r="K47"/>
      <x:c r="L47"/>
      <x:c r="M47"/>
      <x:c r="N47" t="n">
        <x:v>3</x:v>
      </x:c>
      <x:c r="O47"/>
      <x:c r="P47"/>
    </x:row>
    <x:row r="48">
      <x:c r="A48" t="str">
        <x:v>A07</x:v>
      </x:c>
      <x:c r="B48" t="str">
        <x:v>F0701</x:v>
      </x:c>
      <x:c r="C48" t="str">
        <x:v>Tecnología de lácteos</x:v>
      </x:c>
      <x:c r="D48" t="n">
        <x:v>2</x:v>
      </x:c>
      <x:c r="E48"/>
      <x:c r="F48"/>
      <x:c r="G48"/>
      <x:c r="H48"/>
      <x:c r="I48" t="n">
        <x:v>2</x:v>
      </x:c>
      <x:c r="J48"/>
      <x:c r="K48" t="n">
        <x:v>2</x:v>
      </x:c>
      <x:c r="L48"/>
      <x:c r="M48"/>
      <x:c r="N48"/>
      <x:c r="O48" t="n">
        <x:v>2</x:v>
      </x:c>
      <x:c r="P48"/>
    </x:row>
    <x:row r="49">
      <x:c r="A49" t="str">
        <x:v>A07</x:v>
      </x:c>
      <x:c r="B49" t="str">
        <x:v>F0702</x:v>
      </x:c>
      <x:c r="C49" t="str">
        <x:v>Tecnología de carnes, aves y pescado</x:v>
      </x:c>
      <x:c r="D49" t="n">
        <x:v>2</x:v>
      </x:c>
      <x:c r="E49" t="n">
        <x:v>2</x:v>
      </x:c>
      <x:c r="F49" t="n">
        <x:v>2</x:v>
      </x:c>
      <x:c r="G49" t="n">
        <x:v>2</x:v>
      </x:c>
      <x:c r="H49"/>
      <x:c r="I49" t="n">
        <x:v>2</x:v>
      </x:c>
      <x:c r="J49"/>
      <x:c r="K49" t="n">
        <x:v>2</x:v>
      </x:c>
      <x:c r="L49"/>
      <x:c r="M49"/>
      <x:c r="N49"/>
      <x:c r="O49"/>
      <x:c r="P49"/>
    </x:row>
    <x:row r="50">
      <x:c r="A50" t="str">
        <x:v>A07</x:v>
      </x:c>
      <x:c r="B50" t="str">
        <x:v>F0703</x:v>
      </x:c>
      <x:c r="C50" t="str">
        <x:v>Tecnología de cereales y derivados</x:v>
      </x:c>
      <x:c r="D50" t="n">
        <x:v>2</x:v>
      </x:c>
      <x:c r="E50" t="n">
        <x:v>2</x:v>
      </x:c>
      <x:c r="F50"/>
      <x:c r="G50"/>
      <x:c r="H50"/>
      <x:c r="I50"/>
      <x:c r="J50"/>
      <x:c r="K50" t="n">
        <x:v>2</x:v>
      </x:c>
      <x:c r="L50" t="n">
        <x:v>2</x:v>
      </x:c>
      <x:c r="M50"/>
      <x:c r="N50"/>
      <x:c r="O50" t="n">
        <x:v>2</x:v>
      </x:c>
      <x:c r="P50"/>
    </x:row>
    <x:row r="51">
      <x:c r="A51" t="str">
        <x:v>A07</x:v>
      </x:c>
      <x:c r="B51" t="str">
        <x:v>F0704</x:v>
      </x:c>
      <x:c r="C51" t="str">
        <x:v>Tecnología de frutas, hortalizas y zumos</x:v>
      </x:c>
      <x:c r="D51" t="n">
        <x:v>2</x:v>
      </x:c>
      <x:c r="E51"/>
      <x:c r="F51"/>
      <x:c r="G51" t="n">
        <x:v>2</x:v>
      </x:c>
      <x:c r="H51" t="n">
        <x:v>2</x:v>
      </x:c>
      <x:c r="I51" t="n">
        <x:v>2</x:v>
      </x:c>
      <x:c r="J51"/>
      <x:c r="K51" t="n">
        <x:v>2</x:v>
      </x:c>
      <x:c r="L51"/>
      <x:c r="M51"/>
      <x:c r="N51"/>
      <x:c r="O51"/>
      <x:c r="P51"/>
    </x:row>
    <x:row r="52">
      <x:c r="A52" t="str">
        <x:v>A07</x:v>
      </x:c>
      <x:c r="B52" t="str">
        <x:v>F0705</x:v>
      </x:c>
      <x:c r="C52" t="str">
        <x:v>Tecnología de aceites y grasas</x:v>
      </x:c>
      <x:c r="D52" t="n">
        <x:v>2</x:v>
      </x:c>
      <x:c r="E52"/>
      <x:c r="F52"/>
      <x:c r="G52" t="n">
        <x:v>2</x:v>
      </x:c>
      <x:c r="H52"/>
      <x:c r="I52" t="n">
        <x:v>2</x:v>
      </x:c>
      <x:c r="J52"/>
      <x:c r="K52" t="n">
        <x:v>2</x:v>
      </x:c>
      <x:c r="L52"/>
      <x:c r="M52"/>
      <x:c r="N52"/>
      <x:c r="O52"/>
      <x:c r="P52"/>
    </x:row>
    <x:row r="53">
      <x:c r="A53" t="str">
        <x:v>A07</x:v>
      </x:c>
      <x:c r="B53" t="str">
        <x:v>F0706</x:v>
      </x:c>
      <x:c r="C53" t="str">
        <x:v>Tecnología de vino, cerveza y bebidas alcohólicas</x:v>
      </x:c>
      <x:c r="D53" t="n">
        <x:v>2</x:v>
      </x:c>
      <x:c r="E53" t="n">
        <x:v>2</x:v>
      </x:c>
      <x:c r="F53"/>
      <x:c r="G53" t="n">
        <x:v>2</x:v>
      </x:c>
      <x:c r="H53"/>
      <x:c r="I53" t="n">
        <x:v>2</x:v>
      </x:c>
      <x:c r="J53"/>
      <x:c r="K53" t="n">
        <x:v>2</x:v>
      </x:c>
      <x:c r="L53" t="n">
        <x:v>2</x:v>
      </x:c>
      <x:c r="M53"/>
      <x:c r="N53"/>
      <x:c r="O53"/>
      <x:c r="P53"/>
    </x:row>
    <x:row r="54">
      <x:c r="A54" t="str">
        <x:v>A07</x:v>
      </x:c>
      <x:c r="B54" t="str">
        <x:v>F0707</x:v>
      </x:c>
      <x:c r="C54" t="str">
        <x:v>Fermentaciones y productos fermentados</x:v>
      </x:c>
      <x:c r="D54"/>
      <x:c r="E54"/>
      <x:c r="F54" t="n">
        <x:v>2</x:v>
      </x:c>
      <x:c r="G54"/>
      <x:c r="H54"/>
      <x:c r="I54"/>
      <x:c r="J54"/>
      <x:c r="K54"/>
      <x:c r="L54"/>
      <x:c r="M54"/>
      <x:c r="N54"/>
      <x:c r="O54"/>
      <x:c r="P54"/>
    </x:row>
    <x:row r="55">
      <x:c r="A55" t="str">
        <x:v>A07</x:v>
      </x:c>
      <x:c r="B55" t="str">
        <x:v>F0708</x:v>
      </x:c>
      <x:c r="C55" t="str">
        <x:v>Tecnología de recursos marinos</x:v>
      </x:c>
      <x:c r="D55"/>
      <x:c r="E55"/>
      <x:c r="F55"/>
      <x:c r="G55"/>
      <x:c r="H55"/>
      <x:c r="I55" t="n">
        <x:v>2</x:v>
      </x:c>
      <x:c r="J55"/>
      <x:c r="K55"/>
      <x:c r="L55"/>
      <x:c r="M55"/>
      <x:c r="N55"/>
      <x:c r="O55"/>
      <x:c r="P55"/>
    </x:row>
    <x:row r="56">
      <x:c r="A56" t="str">
        <x:v>A07</x:v>
      </x:c>
      <x:c r="B56" t="str">
        <x:v>F0709</x:v>
      </x:c>
      <x:c r="C56" t="str">
        <x:v>Alimentos alternativos y proteínas emergentes</x:v>
      </x:c>
      <x:c r="D56"/>
      <x:c r="E56"/>
      <x:c r="F56"/>
      <x:c r="G56"/>
      <x:c r="H56"/>
      <x:c r="I56"/>
      <x:c r="J56"/>
      <x:c r="K56"/>
      <x:c r="L56"/>
      <x:c r="M56"/>
      <x:c r="N56"/>
      <x:c r="O56" t="n">
        <x:v>2</x:v>
      </x:c>
      <x:c r="P56"/>
    </x:row>
    <x:row r="57">
      <x:c r="A57" t="str">
        <x:v>A07</x:v>
      </x:c>
      <x:c r="B57" t="str">
        <x:v>F0710</x:v>
      </x:c>
      <x:c r="C57" t="str">
        <x:v>Otras industrias alimentarias y extractivas</x:v>
      </x:c>
      <x:c r="D57"/>
      <x:c r="E57"/>
      <x:c r="F57" t="n">
        <x:v>2</x:v>
      </x:c>
      <x:c r="G57"/>
      <x:c r="H57" t="n">
        <x:v>2</x:v>
      </x:c>
      <x:c r="I57"/>
      <x:c r="J57"/>
      <x:c r="K57"/>
      <x:c r="L57"/>
      <x:c r="M57"/>
      <x:c r="N57"/>
      <x:c r="O57" t="n">
        <x:v>2</x:v>
      </x:c>
      <x:c r="P57"/>
    </x:row>
    <x:row r="58">
      <x:c r="A58" t="str">
        <x:v>A08</x:v>
      </x:c>
      <x:c r="B58" t="str">
        <x:v>F0801</x:v>
      </x:c>
      <x:c r="C58" t="str">
        <x:v>Análisis químico, físico e instrumental de alimentos</x:v>
      </x:c>
      <x:c r="D58" t="n">
        <x:v>2</x:v>
      </x:c>
      <x:c r="E58"/>
      <x:c r="F58" t="n">
        <x:v>2</x:v>
      </x:c>
      <x:c r="G58"/>
      <x:c r="H58" t="n">
        <x:v>2</x:v>
      </x:c>
      <x:c r="I58"/>
      <x:c r="J58"/>
      <x:c r="K58" t="n">
        <x:v>2</x:v>
      </x:c>
      <x:c r="L58" t="n">
        <x:v>2</x:v>
      </x:c>
      <x:c r="M58" t="n">
        <x:v>2</x:v>
      </x:c>
      <x:c r="N58"/>
      <x:c r="O58"/>
      <x:c r="P58" t="n">
        <x:v>2</x:v>
      </x:c>
    </x:row>
    <x:row r="59">
      <x:c r="A59" t="str">
        <x:v>A08</x:v>
      </x:c>
      <x:c r="B59" t="str">
        <x:v>F0802</x:v>
      </x:c>
      <x:c r="C59" t="str">
        <x:v>Análisis sensorial y evaluación organoléptica</x:v>
      </x:c>
      <x:c r="D59"/>
      <x:c r="E59" t="n">
        <x:v>2</x:v>
      </x:c>
      <x:c r="F59" t="n">
        <x:v>2</x:v>
      </x:c>
      <x:c r="G59"/>
      <x:c r="H59"/>
      <x:c r="I59" t="n">
        <x:v>2</x:v>
      </x:c>
      <x:c r="J59"/>
      <x:c r="K59" t="n">
        <x:v>2</x:v>
      </x:c>
      <x:c r="L59"/>
      <x:c r="M59"/>
      <x:c r="N59"/>
      <x:c r="O59" t="n">
        <x:v>1</x:v>
      </x:c>
      <x:c r="P59"/>
    </x:row>
    <x:row r="60">
      <x:c r="A60" t="str">
        <x:v>A08</x:v>
      </x:c>
      <x:c r="B60" t="str">
        <x:v>F0803</x:v>
      </x:c>
      <x:c r="C60" t="str">
        <x:v>Gestión y aseguramiento de la calidad</x:v>
      </x:c>
      <x:c r="D60" t="n">
        <x:v>2</x:v>
      </x:c>
      <x:c r="E60" t="n">
        <x:v>2</x:v>
      </x:c>
      <x:c r="F60" t="n">
        <x:v>2</x:v>
      </x:c>
      <x:c r="G60" t="n">
        <x:v>2</x:v>
      </x:c>
      <x:c r="H60" t="n">
        <x:v>2</x:v>
      </x:c>
      <x:c r="I60" t="n">
        <x:v>2</x:v>
      </x:c>
      <x:c r="J60" t="n">
        <x:v>2</x:v>
      </x:c>
      <x:c r="K60" t="n">
        <x:v>2</x:v>
      </x:c>
      <x:c r="L60" t="n">
        <x:v>2</x:v>
      </x:c>
      <x:c r="M60" t="n">
        <x:v>2</x:v>
      </x:c>
      <x:c r="N60"/>
      <x:c r="O60" t="n">
        <x:v>2</x:v>
      </x:c>
      <x:c r="P60"/>
    </x:row>
    <x:row r="61">
      <x:c r="A61" t="str">
        <x:v>A08</x:v>
      </x:c>
      <x:c r="B61" t="str">
        <x:v>F0804</x:v>
      </x:c>
      <x:c r="C61" t="str">
        <x:v>Inocuidad y seguridad alimentaria / HACCP</x:v>
      </x:c>
      <x:c r="D61"/>
      <x:c r="E61" t="n">
        <x:v>2</x:v>
      </x:c>
      <x:c r="F61" t="n">
        <x:v>2</x:v>
      </x:c>
      <x:c r="G61"/>
      <x:c r="H61"/>
      <x:c r="I61" t="n">
        <x:v>2</x:v>
      </x:c>
      <x:c r="J61" t="n">
        <x:v>2</x:v>
      </x:c>
      <x:c r="K61" t="n">
        <x:v>2</x:v>
      </x:c>
      <x:c r="L61"/>
      <x:c r="M61"/>
      <x:c r="N61"/>
      <x:c r="O61"/>
      <x:c r="P61"/>
    </x:row>
    <x:row r="62">
      <x:c r="A62" t="str">
        <x:v>A08</x:v>
      </x:c>
      <x:c r="B62" t="str">
        <x:v>F0805</x:v>
      </x:c>
      <x:c r="C62" t="str">
        <x:v>Higiene, saneamiento y diseño higiénico</x:v>
      </x:c>
      <x:c r="D62"/>
      <x:c r="E62"/>
      <x:c r="F62"/>
      <x:c r="G62"/>
      <x:c r="H62"/>
      <x:c r="I62"/>
      <x:c r="J62"/>
      <x:c r="K62"/>
      <x:c r="L62" t="n">
        <x:v>3</x:v>
      </x:c>
      <x:c r="M62" t="n">
        <x:v>2</x:v>
      </x:c>
      <x:c r="N62"/>
      <x:c r="O62"/>
      <x:c r="P62" t="n">
        <x:v>2</x:v>
      </x:c>
    </x:row>
    <x:row r="63">
      <x:c r="A63" t="str">
        <x:v>A08</x:v>
      </x:c>
      <x:c r="B63" t="str">
        <x:v>F0806</x:v>
      </x:c>
      <x:c r="C63" t="str">
        <x:v>Derecho, regulación y etiquetado alimentario</x:v>
      </x:c>
      <x:c r="D63"/>
      <x:c r="E63"/>
      <x:c r="F63"/>
      <x:c r="G63"/>
      <x:c r="H63"/>
      <x:c r="I63"/>
      <x:c r="J63"/>
      <x:c r="K63"/>
      <x:c r="L63" t="n">
        <x:v>2</x:v>
      </x:c>
      <x:c r="M63"/>
      <x:c r="N63"/>
      <x:c r="O63"/>
      <x:c r="P63" t="n">
        <x:v>2</x:v>
      </x:c>
    </x:row>
    <x:row r="64">
      <x:c r="A64" t="str">
        <x:v>A08</x:v>
      </x:c>
      <x:c r="B64" t="str">
        <x:v>F0807</x:v>
      </x:c>
      <x:c r="C64" t="str">
        <x:v>Trazabilidad, certificación y auditoría</x:v>
      </x:c>
      <x:c r="D64"/>
      <x:c r="E64"/>
      <x:c r="F64"/>
      <x:c r="G64"/>
      <x:c r="H64"/>
      <x:c r="I64"/>
      <x:c r="J64"/>
      <x:c r="K64"/>
      <x:c r="L64"/>
      <x:c r="M64"/>
      <x:c r="N64"/>
      <x:c r="O64"/>
      <x:c r="P64"/>
    </x:row>
    <x:row r="65">
      <x:c r="A65" t="str">
        <x:v>A09</x:v>
      </x:c>
      <x:c r="B65" t="str">
        <x:v>F0901</x:v>
      </x:c>
      <x:c r="C65" t="str">
        <x:v>Diseño de plantas e industrias alimentarias</x:v>
      </x:c>
      <x:c r="D65"/>
      <x:c r="E65"/>
      <x:c r="F65" t="n">
        <x:v>2</x:v>
      </x:c>
      <x:c r="G65" t="n">
        <x:v>3</x:v>
      </x:c>
      <x:c r="H65"/>
      <x:c r="I65"/>
      <x:c r="J65" t="n">
        <x:v>2</x:v>
      </x:c>
      <x:c r="K65"/>
      <x:c r="L65"/>
      <x:c r="M65"/>
      <x:c r="N65" t="n">
        <x:v>3</x:v>
      </x:c>
      <x:c r="O65"/>
      <x:c r="P65"/>
    </x:row>
    <x:row r="66">
      <x:c r="A66" t="str">
        <x:v>A09</x:v>
      </x:c>
      <x:c r="B66" t="str">
        <x:v>F0902</x:v>
      </x:c>
      <x:c r="C66" t="str">
        <x:v>Maquinaria y equipos de proceso</x:v>
      </x:c>
      <x:c r="D66"/>
      <x:c r="E66"/>
      <x:c r="F66"/>
      <x:c r="G66"/>
      <x:c r="H66"/>
      <x:c r="I66"/>
      <x:c r="J66"/>
      <x:c r="K66" t="n">
        <x:v>2</x:v>
      </x:c>
      <x:c r="L66"/>
      <x:c r="M66" t="n">
        <x:v>3</x:v>
      </x:c>
      <x:c r="N66"/>
      <x:c r="O66"/>
      <x:c r="P66" t="n">
        <x:v>2</x:v>
      </x:c>
    </x:row>
    <x:row r="67">
      <x:c r="A67" t="str">
        <x:v>A09</x:v>
      </x:c>
      <x:c r="B67" t="str">
        <x:v>F0903</x:v>
      </x:c>
      <x:c r="C67" t="str">
        <x:v>Instalaciones y servicios auxiliares</x:v>
      </x:c>
      <x:c r="D67"/>
      <x:c r="E67" t="n">
        <x:v>2</x:v>
      </x:c>
      <x:c r="F67"/>
      <x:c r="G67" t="n">
        <x:v>2</x:v>
      </x:c>
      <x:c r="H67" t="n">
        <x:v>2</x:v>
      </x:c>
      <x:c r="I67"/>
      <x:c r="J67"/>
      <x:c r="K67"/>
      <x:c r="L67" t="n">
        <x:v>2</x:v>
      </x:c>
      <x:c r="M67"/>
      <x:c r="N67" t="n">
        <x:v>2</x:v>
      </x:c>
      <x:c r="O67"/>
      <x:c r="P67"/>
    </x:row>
    <x:row r="68">
      <x:c r="A68" t="str">
        <x:v>A09</x:v>
      </x:c>
      <x:c r="B68" t="str">
        <x:v>F0904</x:v>
      </x:c>
      <x:c r="C68" t="str">
        <x:v>Construcciones agroindustriales</x:v>
      </x:c>
      <x:c r="D68"/>
      <x:c r="E68" t="n">
        <x:v>2</x:v>
      </x:c>
      <x:c r="F68"/>
      <x:c r="G68" t="n">
        <x:v>2</x:v>
      </x:c>
      <x:c r="H68" t="n">
        <x:v>2</x:v>
      </x:c>
      <x:c r="I68"/>
      <x:c r="J68"/>
      <x:c r="K68"/>
      <x:c r="L68"/>
      <x:c r="M68"/>
      <x:c r="N68"/>
      <x:c r="O68"/>
      <x:c r="P68"/>
    </x:row>
    <x:row r="69">
      <x:c r="A69" t="str">
        <x:v>A09</x:v>
      </x:c>
      <x:c r="B69" t="str">
        <x:v>F0905</x:v>
      </x:c>
      <x:c r="C69" t="str">
        <x:v>Automatización, control e instrumentación</x:v>
      </x:c>
      <x:c r="D69" t="n">
        <x:v>2</x:v>
      </x:c>
      <x:c r="E69" t="n">
        <x:v>1</x:v>
      </x:c>
      <x:c r="F69"/>
      <x:c r="G69"/>
      <x:c r="H69" t="n">
        <x:v>2</x:v>
      </x:c>
      <x:c r="I69"/>
      <x:c r="J69"/>
      <x:c r="K69"/>
      <x:c r="L69"/>
      <x:c r="M69"/>
      <x:c r="N69" t="n">
        <x:v>2</x:v>
      </x:c>
      <x:c r="O69"/>
      <x:c r="P69"/>
    </x:row>
    <x:row r="70">
      <x:c r="A70" t="str">
        <x:v>A09</x:v>
      </x:c>
      <x:c r="B70" t="str">
        <x:v>F0906</x:v>
      </x:c>
      <x:c r="C70" t="str">
        <x:v>Robótica, digitalización e Industria 4.0</x:v>
      </x:c>
      <x:c r="D70" t="n">
        <x:v>2</x:v>
      </x:c>
      <x:c r="E70"/>
      <x:c r="F70" t="n">
        <x:v>2</x:v>
      </x:c>
      <x:c r="G70"/>
      <x:c r="H70"/>
      <x:c r="I70"/>
      <x:c r="J70" t="n">
        <x:v>2</x:v>
      </x:c>
      <x:c r="K70"/>
      <x:c r="L70"/>
      <x:c r="M70"/>
      <x:c r="N70"/>
      <x:c r="O70"/>
      <x:c r="P70"/>
    </x:row>
    <x:row r="71">
      <x:c r="A71" t="str">
        <x:v>A09</x:v>
      </x:c>
      <x:c r="B71" t="str">
        <x:v>F0907</x:v>
      </x:c>
      <x:c r="C71" t="str">
        <x:v>Envases, materiales y packaging</x:v>
      </x:c>
      <x:c r="D71" t="n">
        <x:v>2</x:v>
      </x:c>
      <x:c r="E71"/>
      <x:c r="F71"/>
      <x:c r="G71"/>
      <x:c r="H71"/>
      <x:c r="I71"/>
      <x:c r="J71" t="n">
        <x:v>2</x:v>
      </x:c>
      <x:c r="K71"/>
      <x:c r="L71"/>
      <x:c r="M71"/>
      <x:c r="N71"/>
      <x:c r="O71" t="n">
        <x:v>2</x:v>
      </x:c>
      <x:c r="P71" t="n">
        <x:v>2</x:v>
      </x:c>
    </x:row>
    <x:row r="72">
      <x:c r="A72" t="str">
        <x:v>A09</x:v>
      </x:c>
      <x:c r="B72" t="str">
        <x:v>F0908</x:v>
      </x:c>
      <x:c r="C72" t="str">
        <x:v>Sistemas energéticos y utilidades térmicas</x:v>
      </x:c>
      <x:c r="D72"/>
      <x:c r="E72" t="n">
        <x:v>2</x:v>
      </x:c>
      <x:c r="F72" t="n">
        <x:v>2</x:v>
      </x:c>
      <x:c r="G72" t="n">
        <x:v>2</x:v>
      </x:c>
      <x:c r="H72"/>
      <x:c r="I72"/>
      <x:c r="J72"/>
      <x:c r="K72"/>
      <x:c r="L72"/>
      <x:c r="M72"/>
      <x:c r="N72" t="n">
        <x:v>2</x:v>
      </x:c>
      <x:c r="O72"/>
      <x:c r="P72" t="n">
        <x:v>2</x:v>
      </x:c>
    </x:row>
    <x:row r="73">
      <x:c r="A73" t="str">
        <x:v>A10</x:v>
      </x:c>
      <x:c r="B73" t="str">
        <x:v>F1001</x:v>
      </x:c>
      <x:c r="C73" t="str">
        <x:v>Producción vegetal y fitotecnia</x:v>
      </x:c>
      <x:c r="D73" t="n">
        <x:v>2</x:v>
      </x:c>
      <x:c r="E73" t="n">
        <x:v>2</x:v>
      </x:c>
      <x:c r="F73" t="n">
        <x:v>2</x:v>
      </x:c>
      <x:c r="G73" t="n">
        <x:v>2</x:v>
      </x:c>
      <x:c r="H73" t="n">
        <x:v>2</x:v>
      </x:c>
      <x:c r="I73"/>
      <x:c r="J73" t="n">
        <x:v>2</x:v>
      </x:c>
      <x:c r="K73" t="n">
        <x:v>2</x:v>
      </x:c>
      <x:c r="L73" t="n">
        <x:v>2</x:v>
      </x:c>
      <x:c r="M73" t="n">
        <x:v>2</x:v>
      </x:c>
      <x:c r="N73"/>
      <x:c r="O73"/>
      <x:c r="P73"/>
    </x:row>
    <x:row r="74">
      <x:c r="A74" t="str">
        <x:v>A10</x:v>
      </x:c>
      <x:c r="B74" t="str">
        <x:v>F1002</x:v>
      </x:c>
      <x:c r="C74" t="str">
        <x:v>Producción animal y zootecnia</x:v>
      </x:c>
      <x:c r="D74" t="n">
        <x:v>2</x:v>
      </x:c>
      <x:c r="E74" t="n">
        <x:v>2</x:v>
      </x:c>
      <x:c r="F74" t="n">
        <x:v>2</x:v>
      </x:c>
      <x:c r="G74" t="n">
        <x:v>2</x:v>
      </x:c>
      <x:c r="H74" t="n">
        <x:v>2</x:v>
      </x:c>
      <x:c r="I74"/>
      <x:c r="J74"/>
      <x:c r="K74" t="n">
        <x:v>2</x:v>
      </x:c>
      <x:c r="L74" t="n">
        <x:v>2</x:v>
      </x:c>
      <x:c r="M74" t="n">
        <x:v>2</x:v>
      </x:c>
      <x:c r="N74"/>
      <x:c r="O74"/>
      <x:c r="P74"/>
    </x:row>
    <x:row r="75">
      <x:c r="A75" t="str">
        <x:v>A10</x:v>
      </x:c>
      <x:c r="B75" t="str">
        <x:v>F1003</x:v>
      </x:c>
      <x:c r="C75" t="str">
        <x:v>Materias primas agroalimentarias y aprovisionamiento</x:v>
      </x:c>
      <x:c r="D75" t="n">
        <x:v>2</x:v>
      </x:c>
      <x:c r="E75"/>
      <x:c r="F75"/>
      <x:c r="G75" t="n">
        <x:v>2</x:v>
      </x:c>
      <x:c r="H75"/>
      <x:c r="I75"/>
      <x:c r="J75"/>
      <x:c r="K75"/>
      <x:c r="L75"/>
      <x:c r="M75"/>
      <x:c r="N75"/>
      <x:c r="O75"/>
      <x:c r="P75"/>
    </x:row>
    <x:row r="76">
      <x:c r="A76" t="str">
        <x:v>A10</x:v>
      </x:c>
      <x:c r="B76" t="str">
        <x:v>F1004</x:v>
      </x:c>
      <x:c r="C76" t="str">
        <x:v>Poscosecha y conservación de materia prima</x:v>
      </x:c>
      <x:c r="D76"/>
      <x:c r="E76"/>
      <x:c r="F76"/>
      <x:c r="G76"/>
      <x:c r="H76"/>
      <x:c r="I76"/>
      <x:c r="J76"/>
      <x:c r="K76"/>
      <x:c r="L76"/>
      <x:c r="M76"/>
      <x:c r="N76"/>
      <x:c r="O76"/>
      <x:c r="P76"/>
    </x:row>
    <x:row r="77">
      <x:c r="A77" t="str">
        <x:v>A10</x:v>
      </x:c>
      <x:c r="B77" t="str">
        <x:v>F1005</x:v>
      </x:c>
      <x:c r="C77" t="str">
        <x:v>Edafología, geología y climatología</x:v>
      </x:c>
      <x:c r="D77" t="n">
        <x:v>2</x:v>
      </x:c>
      <x:c r="E77" t="n">
        <x:v>2</x:v>
      </x:c>
      <x:c r="F77" t="n">
        <x:v>2</x:v>
      </x:c>
      <x:c r="G77" t="n">
        <x:v>2</x:v>
      </x:c>
      <x:c r="H77" t="n">
        <x:v>2</x:v>
      </x:c>
      <x:c r="I77"/>
      <x:c r="J77"/>
      <x:c r="K77"/>
      <x:c r="L77"/>
      <x:c r="M77"/>
      <x:c r="N77"/>
      <x:c r="O77"/>
      <x:c r="P77"/>
    </x:row>
    <x:row r="78">
      <x:c r="A78" t="str">
        <x:v>A10</x:v>
      </x:c>
      <x:c r="B78" t="str">
        <x:v>F1006</x:v>
      </x:c>
      <x:c r="C78" t="str">
        <x:v>Geomática, topografía y cartografía</x:v>
      </x:c>
      <x:c r="D78" t="n">
        <x:v>2</x:v>
      </x:c>
      <x:c r="E78" t="n">
        <x:v>2</x:v>
      </x:c>
      <x:c r="F78" t="n">
        <x:v>2</x:v>
      </x:c>
      <x:c r="G78" t="n">
        <x:v>2</x:v>
      </x:c>
      <x:c r="H78" t="n">
        <x:v>2</x:v>
      </x:c>
      <x:c r="I78"/>
      <x:c r="J78"/>
      <x:c r="K78"/>
      <x:c r="L78"/>
      <x:c r="M78"/>
      <x:c r="N78"/>
      <x:c r="O78"/>
      <x:c r="P78"/>
    </x:row>
    <x:row r="79">
      <x:c r="A79" t="str">
        <x:v>A10</x:v>
      </x:c>
      <x:c r="B79" t="str">
        <x:v>F1007</x:v>
      </x:c>
      <x:c r="C79" t="str">
        <x:v>Riego, drenaje y mecanización agrícola</x:v>
      </x:c>
      <x:c r="D79"/>
      <x:c r="E79"/>
      <x:c r="F79"/>
      <x:c r="G79" t="n">
        <x:v>2</x:v>
      </x:c>
      <x:c r="H79" t="n">
        <x:v>2</x:v>
      </x:c>
      <x:c r="I79"/>
      <x:c r="J79"/>
      <x:c r="K79"/>
      <x:c r="L79"/>
      <x:c r="M79"/>
      <x:c r="N79"/>
      <x:c r="O79"/>
      <x:c r="P79"/>
    </x:row>
    <x:row r="80">
      <x:c r="A80" t="str">
        <x:v>A11</x:v>
      </x:c>
      <x:c r="B80" t="str">
        <x:v>F1101</x:v>
      </x:c>
      <x:c r="C80" t="str">
        <x:v>Ecología e impacto ambiental</x:v>
      </x:c>
      <x:c r="D80" t="n">
        <x:v>2</x:v>
      </x:c>
      <x:c r="E80" t="n">
        <x:v>1</x:v>
      </x:c>
      <x:c r="F80" t="n">
        <x:v>2</x:v>
      </x:c>
      <x:c r="G80" t="n">
        <x:v>2</x:v>
      </x:c>
      <x:c r="H80" t="n">
        <x:v>2</x:v>
      </x:c>
      <x:c r="I80"/>
      <x:c r="J80"/>
      <x:c r="K80"/>
      <x:c r="L80"/>
      <x:c r="M80"/>
      <x:c r="N80"/>
      <x:c r="O80"/>
      <x:c r="P80"/>
    </x:row>
    <x:row r="81">
      <x:c r="A81" t="str">
        <x:v>A11</x:v>
      </x:c>
      <x:c r="B81" t="str">
        <x:v>F1102</x:v>
      </x:c>
      <x:c r="C81" t="str">
        <x:v>Análisis de ciclo de vida y ecodiseño</x:v>
      </x:c>
      <x:c r="D81" t="n">
        <x:v>2</x:v>
      </x:c>
      <x:c r="E81"/>
      <x:c r="F81" t="n">
        <x:v>2</x:v>
      </x:c>
      <x:c r="G81"/>
      <x:c r="H81"/>
      <x:c r="I81"/>
      <x:c r="J81"/>
      <x:c r="K81"/>
      <x:c r="L81"/>
      <x:c r="M81"/>
      <x:c r="N81"/>
      <x:c r="O81"/>
      <x:c r="P81"/>
    </x:row>
    <x:row r="82">
      <x:c r="A82" t="str">
        <x:v>A11</x:v>
      </x:c>
      <x:c r="B82" t="str">
        <x:v>F1103</x:v>
      </x:c>
      <x:c r="C82" t="str">
        <x:v>Residuos, subproductos y valorización</x:v>
      </x:c>
      <x:c r="D82" t="n">
        <x:v>2</x:v>
      </x:c>
      <x:c r="E82" t="n">
        <x:v>2</x:v>
      </x:c>
      <x:c r="F82"/>
      <x:c r="G82" t="n">
        <x:v>2</x:v>
      </x:c>
      <x:c r="H82" t="n">
        <x:v>2</x:v>
      </x:c>
      <x:c r="I82"/>
      <x:c r="J82"/>
      <x:c r="K82"/>
      <x:c r="L82"/>
      <x:c r="M82"/>
      <x:c r="N82"/>
      <x:c r="O82"/>
      <x:c r="P82"/>
    </x:row>
    <x:row r="83">
      <x:c r="A83" t="str">
        <x:v>A11</x:v>
      </x:c>
      <x:c r="B83" t="str">
        <x:v>F1104</x:v>
      </x:c>
      <x:c r="C83" t="str">
        <x:v>Tratamiento de aguas y efluentes</x:v>
      </x:c>
      <x:c r="D83"/>
      <x:c r="E83"/>
      <x:c r="F83"/>
      <x:c r="G83"/>
      <x:c r="H83"/>
      <x:c r="I83" t="n">
        <x:v>2</x:v>
      </x:c>
      <x:c r="J83" t="n">
        <x:v>2</x:v>
      </x:c>
      <x:c r="K83"/>
      <x:c r="L83"/>
      <x:c r="M83"/>
      <x:c r="N83"/>
      <x:c r="O83"/>
      <x:c r="P83"/>
    </x:row>
    <x:row r="84">
      <x:c r="A84" t="str">
        <x:v>A11</x:v>
      </x:c>
      <x:c r="B84" t="str">
        <x:v>F1105</x:v>
      </x:c>
      <x:c r="C84" t="str">
        <x:v>Sostenibilidad y economía circular</x:v>
      </x:c>
      <x:c r="D84"/>
      <x:c r="E84"/>
      <x:c r="F84"/>
      <x:c r="G84"/>
      <x:c r="H84"/>
      <x:c r="I84"/>
      <x:c r="J84"/>
      <x:c r="K84" t="n">
        <x:v>2</x:v>
      </x:c>
      <x:c r="L84"/>
      <x:c r="M84"/>
      <x:c r="N84"/>
      <x:c r="O84"/>
      <x:c r="P84"/>
    </x:row>
    <x:row r="85">
      <x:c r="A85" t="str">
        <x:v>A11</x:v>
      </x:c>
      <x:c r="B85" t="str">
        <x:v>F1106</x:v>
      </x:c>
      <x:c r="C85" t="str">
        <x:v>Bioenergía, biomasa y energía ambiental</x:v>
      </x:c>
      <x:c r="D85"/>
      <x:c r="E85"/>
      <x:c r="F85"/>
      <x:c r="G85"/>
      <x:c r="H85"/>
      <x:c r="I85"/>
      <x:c r="J85"/>
      <x:c r="K85"/>
      <x:c r="L85"/>
      <x:c r="M85"/>
      <x:c r="N85"/>
      <x:c r="O85"/>
      <x:c r="P85" t="n">
        <x:v>2</x:v>
      </x:c>
    </x:row>
    <x:row r="86">
      <x:c r="A86" t="str">
        <x:v>A12</x:v>
      </x:c>
      <x:c r="B86" t="str">
        <x:v>F1201</x:v>
      </x:c>
      <x:c r="C86" t="str">
        <x:v>Economía y sistemas agroalimentarios</x:v>
      </x:c>
      <x:c r="D86" t="n">
        <x:v>2</x:v>
      </x:c>
      <x:c r="E86"/>
      <x:c r="F86" t="n">
        <x:v>2</x:v>
      </x:c>
      <x:c r="G86" t="n">
        <x:v>2</x:v>
      </x:c>
      <x:c r="H86" t="n">
        <x:v>2</x:v>
      </x:c>
      <x:c r="I86"/>
      <x:c r="J86" t="n">
        <x:v>2</x:v>
      </x:c>
      <x:c r="K86"/>
      <x:c r="L86" t="n">
        <x:v>2</x:v>
      </x:c>
      <x:c r="M86" t="n">
        <x:v>2</x:v>
      </x:c>
      <x:c r="N86"/>
      <x:c r="O86"/>
      <x:c r="P86" t="n">
        <x:v>2</x:v>
      </x:c>
    </x:row>
    <x:row r="87">
      <x:c r="A87" t="str">
        <x:v>A12</x:v>
      </x:c>
      <x:c r="B87" t="str">
        <x:v>F1202</x:v>
      </x:c>
      <x:c r="C87" t="str">
        <x:v>Administración y gestión empresarial</x:v>
      </x:c>
      <x:c r="D87" t="n">
        <x:v>1</x:v>
      </x:c>
      <x:c r="E87" t="n">
        <x:v>2</x:v>
      </x:c>
      <x:c r="F87"/>
      <x:c r="G87" t="n">
        <x:v>2</x:v>
      </x:c>
      <x:c r="H87" t="n">
        <x:v>2</x:v>
      </x:c>
      <x:c r="I87"/>
      <x:c r="J87" t="n">
        <x:v>2</x:v>
      </x:c>
      <x:c r="K87" t="n">
        <x:v>2</x:v>
      </x:c>
      <x:c r="L87"/>
      <x:c r="M87"/>
      <x:c r="N87" t="n">
        <x:v>2</x:v>
      </x:c>
      <x:c r="O87"/>
      <x:c r="P87"/>
    </x:row>
    <x:row r="88">
      <x:c r="A88" t="str">
        <x:v>A12</x:v>
      </x:c>
      <x:c r="B88" t="str">
        <x:v>F1203</x:v>
      </x:c>
      <x:c r="C88" t="str">
        <x:v>Costos, valoración y finanzas</x:v>
      </x:c>
      <x:c r="D88" t="n">
        <x:v>2</x:v>
      </x:c>
      <x:c r="E88"/>
      <x:c r="F88" t="n">
        <x:v>2</x:v>
      </x:c>
      <x:c r="G88"/>
      <x:c r="H88" t="n">
        <x:v>2</x:v>
      </x:c>
      <x:c r="I88"/>
      <x:c r="J88"/>
      <x:c r="K88"/>
      <x:c r="L88"/>
      <x:c r="M88"/>
      <x:c r="N88"/>
      <x:c r="O88"/>
      <x:c r="P88"/>
    </x:row>
    <x:row r="89">
      <x:c r="A89" t="str">
        <x:v>A12</x:v>
      </x:c>
      <x:c r="B89" t="str">
        <x:v>F1204</x:v>
      </x:c>
      <x:c r="C89" t="str">
        <x:v>Marketing y comercialización</x:v>
      </x:c>
      <x:c r="D89" t="n">
        <x:v>2</x:v>
      </x:c>
      <x:c r="E89" t="n">
        <x:v>2</x:v>
      </x:c>
      <x:c r="F89"/>
      <x:c r="G89" t="n">
        <x:v>2</x:v>
      </x:c>
      <x:c r="H89" t="n">
        <x:v>2</x:v>
      </x:c>
      <x:c r="I89"/>
      <x:c r="J89"/>
      <x:c r="K89"/>
      <x:c r="L89"/>
      <x:c r="M89"/>
      <x:c r="N89"/>
      <x:c r="O89"/>
      <x:c r="P89"/>
    </x:row>
    <x:row r="90">
      <x:c r="A90" t="str">
        <x:v>A12</x:v>
      </x:c>
      <x:c r="B90" t="str">
        <x:v>F1205</x:v>
      </x:c>
      <x:c r="C90" t="str">
        <x:v>Logística y supply chain</x:v>
      </x:c>
      <x:c r="D90" t="n">
        <x:v>2</x:v>
      </x:c>
      <x:c r="E90"/>
      <x:c r="F90"/>
      <x:c r="G90"/>
      <x:c r="H90"/>
      <x:c r="I90"/>
      <x:c r="J90"/>
      <x:c r="K90"/>
      <x:c r="L90"/>
      <x:c r="M90"/>
      <x:c r="N90"/>
      <x:c r="O90"/>
      <x:c r="P90"/>
    </x:row>
    <x:row r="91">
      <x:c r="A91" t="str">
        <x:v>A12</x:v>
      </x:c>
      <x:c r="B91" t="str">
        <x:v>F1206</x:v>
      </x:c>
      <x:c r="C91" t="str">
        <x:v>Gestión de producción y operaciones</x:v>
      </x:c>
      <x:c r="D91"/>
      <x:c r="E91"/>
      <x:c r="F91"/>
      <x:c r="G91"/>
      <x:c r="H91"/>
      <x:c r="I91"/>
      <x:c r="J91"/>
      <x:c r="K91"/>
      <x:c r="L91"/>
      <x:c r="M91"/>
      <x:c r="N91"/>
      <x:c r="O91"/>
      <x:c r="P91"/>
    </x:row>
    <x:row r="92">
      <x:c r="A92" t="str">
        <x:v>A12</x:v>
      </x:c>
      <x:c r="B92" t="str">
        <x:v>F1207</x:v>
      </x:c>
      <x:c r="C92" t="str">
        <x:v>Gestión de proyectos</x:v>
      </x:c>
      <x:c r="D92"/>
      <x:c r="E92"/>
      <x:c r="F92"/>
      <x:c r="G92"/>
      <x:c r="H92"/>
      <x:c r="I92"/>
      <x:c r="J92"/>
      <x:c r="K92"/>
      <x:c r="L92"/>
      <x:c r="M92"/>
      <x:c r="N92"/>
      <x:c r="O92"/>
      <x:c r="P92"/>
    </x:row>
    <x:row r="93">
      <x:c r="A93" t="str">
        <x:v>A12</x:v>
      </x:c>
      <x:c r="B93" t="str">
        <x:v>F1208</x:v>
      </x:c>
      <x:c r="C93" t="str">
        <x:v>Emprendimiento y modelos de negocio</x:v>
      </x:c>
      <x:c r="D93"/>
      <x:c r="E93"/>
      <x:c r="F93" t="n">
        <x:v>2</x:v>
      </x:c>
      <x:c r="G93"/>
      <x:c r="H93"/>
      <x:c r="I93" t="n">
        <x:v>2</x:v>
      </x:c>
      <x:c r="J93"/>
      <x:c r="K93" t="n">
        <x:v>2</x:v>
      </x:c>
      <x:c r="L93"/>
      <x:c r="M93"/>
      <x:c r="N93"/>
      <x:c r="O93"/>
      <x:c r="P93"/>
    </x:row>
    <x:row r="94">
      <x:c r="A94" t="str">
        <x:v>A13</x:v>
      </x:c>
      <x:c r="B94" t="str">
        <x:v>F1301</x:v>
      </x:c>
      <x:c r="C94" t="str">
        <x:v>Nutrición humana y dietética</x:v>
      </x:c>
      <x:c r="D94" t="n">
        <x:v>2</x:v>
      </x:c>
      <x:c r="E94"/>
      <x:c r="F94"/>
      <x:c r="G94"/>
      <x:c r="H94"/>
      <x:c r="I94"/>
      <x:c r="J94" t="n">
        <x:v>2</x:v>
      </x:c>
      <x:c r="K94"/>
      <x:c r="L94" t="n">
        <x:v>2</x:v>
      </x:c>
      <x:c r="M94" t="n">
        <x:v>2</x:v>
      </x:c>
      <x:c r="N94"/>
      <x:c r="O94"/>
      <x:c r="P94"/>
    </x:row>
    <x:row r="95">
      <x:c r="A95" t="str">
        <x:v>A13</x:v>
      </x:c>
      <x:c r="B95" t="str">
        <x:v>F1302</x:v>
      </x:c>
      <x:c r="C95" t="str">
        <x:v>Alimentación y salud / alimentos funcionales</x:v>
      </x:c>
      <x:c r="D95"/>
      <x:c r="E95"/>
      <x:c r="F95"/>
      <x:c r="G95"/>
      <x:c r="H95"/>
      <x:c r="I95"/>
      <x:c r="J95"/>
      <x:c r="K95"/>
      <x:c r="L95"/>
      <x:c r="M95"/>
      <x:c r="N95"/>
      <x:c r="O95"/>
      <x:c r="P95"/>
    </x:row>
    <x:row r="96">
      <x:c r="A96" t="str">
        <x:v>A13</x:v>
      </x:c>
      <x:c r="B96" t="str">
        <x:v>F1303</x:v>
      </x:c>
      <x:c r="C96" t="str">
        <x:v>Ciencia sensorial y del consumidor</x:v>
      </x:c>
      <x:c r="D96"/>
      <x:c r="E96"/>
      <x:c r="F96"/>
      <x:c r="G96"/>
      <x:c r="H96"/>
      <x:c r="I96"/>
      <x:c r="J96"/>
      <x:c r="K96"/>
      <x:c r="L96"/>
      <x:c r="M96"/>
      <x:c r="N96"/>
      <x:c r="O96"/>
      <x:c r="P96"/>
    </x:row>
    <x:row r="97">
      <x:c r="A97" t="str">
        <x:v>A14</x:v>
      </x:c>
      <x:c r="B97" t="str">
        <x:v>F1401</x:v>
      </x:c>
      <x:c r="C97" t="str">
        <x:v>Desarrollo e innovación de productos alimentarios</x:v>
      </x:c>
      <x:c r="D97" t="n">
        <x:v>3</x:v>
      </x:c>
      <x:c r="E97"/>
      <x:c r="F97" t="n">
        <x:v>2</x:v>
      </x:c>
      <x:c r="G97"/>
      <x:c r="H97"/>
      <x:c r="I97" t="n">
        <x:v>2</x:v>
      </x:c>
      <x:c r="J97"/>
      <x:c r="K97" t="n">
        <x:v>2</x:v>
      </x:c>
      <x:c r="L97"/>
      <x:c r="M97" t="n">
        <x:v>2</x:v>
      </x:c>
      <x:c r="N97"/>
      <x:c r="O97"/>
      <x:c r="P97"/>
    </x:row>
    <x:row r="98">
      <x:c r="A98" t="str">
        <x:v>A14</x:v>
      </x:c>
      <x:c r="B98" t="str">
        <x:v>F1402</x:v>
      </x:c>
      <x:c r="C98" t="str">
        <x:v>Formulación avanzada orientada a innovación</x:v>
      </x:c>
      <x:c r="D98"/>
      <x:c r="E98"/>
      <x:c r="F98"/>
      <x:c r="G98"/>
      <x:c r="H98"/>
      <x:c r="I98"/>
      <x:c r="J98"/>
      <x:c r="K98"/>
      <x:c r="L98"/>
      <x:c r="M98"/>
      <x:c r="N98"/>
      <x:c r="O98"/>
      <x:c r="P98"/>
    </x:row>
    <x:row r="99">
      <x:c r="A99" t="str">
        <x:v>A14</x:v>
      </x:c>
      <x:c r="B99" t="str">
        <x:v>F1403</x:v>
      </x:c>
      <x:c r="C99" t="str">
        <x:v>Investigación y desarrollo aplicado</x:v>
      </x:c>
      <x:c r="D99"/>
      <x:c r="E99"/>
      <x:c r="F99"/>
      <x:c r="G99"/>
      <x:c r="H99"/>
      <x:c r="I99"/>
      <x:c r="J99"/>
      <x:c r="K99"/>
      <x:c r="L99"/>
      <x:c r="M99"/>
      <x:c r="N99"/>
      <x:c r="O99"/>
      <x:c r="P99"/>
    </x:row>
    <x:row r="100">
      <x:c r="A100" t="str">
        <x:v>A14</x:v>
      </x:c>
      <x:c r="B100" t="str">
        <x:v>F1404</x:v>
      </x:c>
      <x:c r="C100" t="str">
        <x:v>Diseño experimental aplicado a I+D</x:v>
      </x:c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</x:row>
    <x:row r="101">
      <x:c r="A101" t="str">
        <x:v>A15</x:v>
      </x:c>
      <x:c r="B101" t="str">
        <x:v>F1501</x:v>
      </x:c>
      <x:c r="C101" t="str">
        <x:v>Proyecto de ingeniería / oficina técnica</x:v>
      </x:c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</x:row>
    <x:row r="102">
      <x:c r="A102" t="str">
        <x:v>A15</x:v>
      </x:c>
      <x:c r="B102" t="str">
        <x:v>F1502</x:v>
      </x:c>
      <x:c r="C102" t="str">
        <x:v>Proyecto integrador / capstone</x:v>
      </x:c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</x:row>
    <x:row r="103">
      <x:c r="A103" t="str">
        <x:v>A15</x:v>
      </x:c>
      <x:c r="B103" t="str">
        <x:v>F1503</x:v>
      </x:c>
      <x:c r="C103" t="str">
        <x:v>Trabajo Fin de Grado / Bachelor thesis</x:v>
      </x:c>
      <x:c r="D103" t="n">
        <x:v>3</x:v>
      </x:c>
      <x:c r="E103" t="n">
        <x:v>3</x:v>
      </x:c>
      <x:c r="F103" t="n">
        <x:v>3</x:v>
      </x:c>
      <x:c r="G103" t="n">
        <x:v>3</x:v>
      </x:c>
      <x:c r="H103"/>
      <x:c r="I103"/>
      <x:c r="J103"/>
      <x:c r="K103"/>
      <x:c r="L103" t="n">
        <x:v>3</x:v>
      </x:c>
      <x:c r="M103" t="n">
        <x:v>3</x:v>
      </x:c>
      <x:c r="N103" t="n">
        <x:v>3</x:v>
      </x:c>
      <x:c r="O103" t="n">
        <x:v>3</x:v>
      </x:c>
      <x:c r="P103" t="n">
        <x:v>3</x:v>
      </x:c>
    </x:row>
    <x:row r="104">
      <x:c r="A104" t="str">
        <x:v>A15</x:v>
      </x:c>
      <x:c r="B104" t="str">
        <x:v>F1504</x:v>
      </x:c>
      <x:c r="C104" t="str">
        <x:v>Tesis / mémoire de investigación</x:v>
      </x:c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</x:row>
    <x:row r="105">
      <x:c r="A105" t="str">
        <x:v>A15</x:v>
      </x:c>
      <x:c r="B105" t="str">
        <x:v>F1505</x:v>
      </x:c>
      <x:c r="C105" t="str">
        <x:v>Práctica externa / internship / stage</x:v>
      </x:c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</x:row>
    <x:row r="106">
      <x:c r="A106" t="str">
        <x:v>A15</x:v>
      </x:c>
      <x:c r="B106" t="str">
        <x:v>F1506</x:v>
      </x:c>
      <x:c r="C106" t="str">
        <x:v>Stage final / misión de ingeniero</x:v>
      </x:c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</x:row>
    <x:row r="107">
      <x:c r="A107" t="str">
        <x:v>A15</x:v>
      </x:c>
      <x:c r="B107" t="str">
        <x:v>F1507</x:v>
      </x:c>
      <x:c r="C107" t="str">
        <x:v>Taller / laboratorio integrador / proyecto práctico</x:v>
      </x:c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</x:row>
    <x:row r="108">
      <x:c r="A108" t="str">
        <x:v>A15</x:v>
      </x:c>
      <x:c r="B108" t="str">
        <x:v>F1508</x:v>
      </x:c>
      <x:c r="C108" t="str">
        <x:v>Movilidad y experiencia internacional</x:v>
      </x:c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</x:row>
    <x:row r="109">
      <x:c r="A109" t="str">
        <x:v>A16</x:v>
      </x:c>
      <x:c r="B109" t="str">
        <x:v>F1601</x:v>
      </x:c>
      <x:c r="C109" t="str">
        <x:v>Idioma extranjero</x:v>
      </x:c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</x:row>
    <x:row r="110">
      <x:c r="A110" t="str">
        <x:v>A16</x:v>
      </x:c>
      <x:c r="B110" t="str">
        <x:v>F1602</x:v>
      </x:c>
      <x:c r="C110" t="str">
        <x:v>Comunicación académica y profesional</x:v>
      </x:c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</x:row>
    <x:row r="111">
      <x:c r="A111" t="str">
        <x:v>A16</x:v>
      </x:c>
      <x:c r="B111" t="str">
        <x:v>F1603</x:v>
      </x:c>
      <x:c r="C111" t="str">
        <x:v>Ética, responsabilidad y desarrollo profesional</x:v>
      </x:c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</x:row>
    <x:row r="112">
      <x:c r="A112" t="str">
        <x:v>A16</x:v>
      </x:c>
      <x:c r="B112" t="str">
        <x:v>F1604</x:v>
      </x:c>
      <x:c r="C112" t="str">
        <x:v>Propiedad intelectual y regulación profesional general</x:v>
      </x:c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</x:row>
    <x:row r="113">
      <x:c r="A113" t="str">
        <x:v>A16</x:v>
      </x:c>
      <x:c r="B113" t="str">
        <x:v>F1605</x:v>
      </x:c>
      <x:c r="C113" t="str">
        <x:v>Documentación y alfabetización informacional</x:v>
      </x:c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</x:row>
    <x:row r="114">
      <x:c r="A114" t="str">
        <x:v>A16</x:v>
      </x:c>
      <x:c r="B114" t="str">
        <x:v>F1606</x:v>
      </x:c>
      <x:c r="C114" t="str">
        <x:v>Humanidades, deporte y formación general</x:v>
      </x:c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 t="n">
        <x:v>1</x:v>
      </x:c>
    </x:row>
  </x:sheetData>
  <x:mergeCells>
    <x:mergeCell ref="A1:P1"/>
  </x:mergeCells>
  <x:conditionalFormatting sqref="D4:P114">
    <x:cfRule type="colorScale" priority="1">
      <x:colorScale>
        <x:cfvo type="min"/>
        <x:cfvo type="percentile" val="50"/>
        <x:cfvo type="max"/>
        <x:color rgb="FFE7E6E6"/>
        <x:color rgb="FFD9EAF7"/>
        <x:color rgb="FFE2F0D9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4" t="str">
        <x:v>ID_Area</x:v>
      </x:c>
      <x:c r="B1" s="14" t="str">
        <x:v>Area</x:v>
      </x:c>
      <x:c r="C1" s="14" t="str">
        <x:v>N_Familias_Taxonomia</x:v>
      </x:c>
      <x:c r="D1" s="14" t="str">
        <x:v>N_Core_con_Area</x:v>
      </x:c>
      <x:c r="E1" s="14" t="str">
        <x:v>Presencia_Core_pct</x:v>
      </x:c>
      <x:c r="F1" s="14" t="str">
        <x:v>N_Todos_con_Area</x:v>
      </x:c>
      <x:c r="G1" s="14" t="str">
        <x:v>Presencia_Todos_pct</x:v>
      </x:c>
      <x:c r="H1" s="14" t="str">
        <x:v>Peso_Obligatorio_Promedio_Core_pct</x:v>
      </x:c>
      <x:c r="I1" s="14" t="str">
        <x:v>Primera_Aparicion_Mediana_pct</x:v>
      </x:c>
      <x:c r="J1" s="14" t="str">
        <x:v>Etapa_Mediana</x:v>
      </x:c>
    </x:row>
    <x:row r="2">
      <x:c r="A2" t="str">
        <x:v>A00</x:v>
      </x:c>
      <x:c r="B2" t="str">
        <x:v>Contenedores curriculares / no temáticos</x:v>
      </x:c>
      <x:c r="C2" t="n">
        <x:v>2</x:v>
      </x:c>
      <x:c r="D2" t="n">
        <x:v>6</x:v>
      </x:c>
      <x:c r="E2" s="28" t="n">
        <x:v>0.46153846153846156</x:v>
      </x:c>
      <x:c r="F2" t="n">
        <x:v>10</x:v>
      </x:c>
      <x:c r="G2" s="28" t="n">
        <x:v>0.47619047619047616</x:v>
      </x:c>
      <x:c r="H2" s="28" t="n">
        <x:v>0</x:v>
      </x:c>
      <x:c r="I2" s="30" t="n">
        <x:v>80.20833333333333</x:v>
      </x:c>
      <x:c r="J2" t="str">
        <x:v>E4 Integración/especialización</x:v>
      </x:c>
    </x:row>
    <x:row r="3">
      <x:c r="A3" t="str">
        <x:v>A01</x:v>
      </x:c>
      <x:c r="B3" t="str">
        <x:v>Matemáticas, Estadística y Computación</x:v>
      </x:c>
      <x:c r="C3" t="n">
        <x:v>8</x:v>
      </x:c>
      <x:c r="D3" t="n">
        <x:v>13</x:v>
      </x:c>
      <x:c r="E3" s="28" t="n">
        <x:v>1</x:v>
      </x:c>
      <x:c r="F3" t="n">
        <x:v>18</x:v>
      </x:c>
      <x:c r="G3" s="28" t="n">
        <x:v>0.8571428571428571</x:v>
      </x:c>
      <x:c r="H3" s="28" t="n">
        <x:v>0.08611111111111111</x:v>
      </x:c>
      <x:c r="I3" s="30" t="n">
        <x:v>8.333333333333332</x:v>
      </x:c>
      <x:c r="J3" t="str">
        <x:v>E1 Fundamentos</x:v>
      </x:c>
    </x:row>
    <x:row r="4">
      <x:c r="A4" t="str">
        <x:v>A02</x:v>
      </x:c>
      <x:c r="B4" t="str">
        <x:v>Física y Química Fundamental</x:v>
      </x:c>
      <x:c r="C4" t="n">
        <x:v>5</x:v>
      </x:c>
      <x:c r="D4" t="n">
        <x:v>13</x:v>
      </x:c>
      <x:c r="E4" s="28" t="n">
        <x:v>1</x:v>
      </x:c>
      <x:c r="F4" t="n">
        <x:v>16</x:v>
      </x:c>
      <x:c r="G4" s="28" t="n">
        <x:v>0.7619047619047619</x:v>
      </x:c>
      <x:c r="H4" s="28" t="n">
        <x:v>0.1050925925925926</x:v>
      </x:c>
      <x:c r="I4" s="30" t="n">
        <x:v>8.333333333333332</x:v>
      </x:c>
      <x:c r="J4" t="str">
        <x:v>E1 Fundamentos</x:v>
      </x:c>
    </x:row>
    <x:row r="5">
      <x:c r="A5" t="str">
        <x:v>A03</x:v>
      </x:c>
      <x:c r="B5" t="str">
        <x:v>Biología, Bioquímica, Microbiología y Biotecnología</x:v>
      </x:c>
      <x:c r="C5" t="n">
        <x:v>6</x:v>
      </x:c>
      <x:c r="D5" t="n">
        <x:v>13</x:v>
      </x:c>
      <x:c r="E5" s="28" t="n">
        <x:v>1</x:v>
      </x:c>
      <x:c r="F5" t="n">
        <x:v>19</x:v>
      </x:c>
      <x:c r="G5" s="28" t="n">
        <x:v>0.9047619047619048</x:v>
      </x:c>
      <x:c r="H5" s="28" t="n">
        <x:v>0.10920138888888889</x:v>
      </x:c>
      <x:c r="I5" s="30" t="n">
        <x:v>8.333333333333332</x:v>
      </x:c>
      <x:c r="J5" t="str">
        <x:v>E1 Fundamentos</x:v>
      </x:c>
    </x:row>
    <x:row r="6">
      <x:c r="A6" t="str">
        <x:v>A04</x:v>
      </x:c>
      <x:c r="B6" t="str">
        <x:v>Ciencias de Ingeniería</x:v>
      </x:c>
      <x:c r="C6" t="n">
        <x:v>7</x:v>
      </x:c>
      <x:c r="D6" t="n">
        <x:v>9</x:v>
      </x:c>
      <x:c r="E6" s="28" t="n">
        <x:v>0.6923076923076923</x:v>
      </x:c>
      <x:c r="F6" t="n">
        <x:v>11</x:v>
      </x:c>
      <x:c r="G6" s="28" t="n">
        <x:v>0.5238095238095238</x:v>
      </x:c>
      <x:c r="H6" s="28" t="n">
        <x:v>0.04832175925925926</x:v>
      </x:c>
      <x:c r="I6" s="30" t="n">
        <x:v>31.25</x:v>
      </x:c>
      <x:c r="J6" t="str">
        <x:v>E2 Fundamentos de ingeniería</x:v>
      </x:c>
    </x:row>
    <x:row r="7">
      <x:c r="A7" t="str">
        <x:v>A05</x:v>
      </x:c>
      <x:c r="B7" t="str">
        <x:v>Ingeniería de Procesos y Operaciones Unitarias</x:v>
      </x:c>
      <x:c r="C7" t="n">
        <x:v>10</x:v>
      </x:c>
      <x:c r="D7" t="n">
        <x:v>11</x:v>
      </x:c>
      <x:c r="E7" s="28" t="n">
        <x:v>0.8461538461538461</x:v>
      </x:c>
      <x:c r="F7" t="n">
        <x:v>13</x:v>
      </x:c>
      <x:c r="G7" s="28" t="n">
        <x:v>0.6190476190476191</x:v>
      </x:c>
      <x:c r="H7" s="28" t="n">
        <x:v>0.03402777777777778</x:v>
      </x:c>
      <x:c r="I7" s="30" t="n">
        <x:v>56.25</x:v>
      </x:c>
      <x:c r="J7" t="str">
        <x:v>E3 Formación profesional</x:v>
      </x:c>
    </x:row>
    <x:row r="8">
      <x:c r="A8" t="str">
        <x:v>A06</x:v>
      </x:c>
      <x:c r="B8" t="str">
        <x:v>Ciencia y Tecnología General de Alimentos</x:v>
      </x:c>
      <x:c r="C8" t="n">
        <x:v>6</x:v>
      </x:c>
      <x:c r="D8" t="n">
        <x:v>12</x:v>
      </x:c>
      <x:c r="E8" s="28" t="n">
        <x:v>0.9230769230769231</x:v>
      </x:c>
      <x:c r="F8" t="n">
        <x:v>16</x:v>
      </x:c>
      <x:c r="G8" s="28" t="n">
        <x:v>0.7619047619047619</x:v>
      </x:c>
      <x:c r="H8" s="28" t="n">
        <x:v>0.08530092592592593</x:v>
      </x:c>
      <x:c r="I8" s="30" t="n">
        <x:v>34.375</x:v>
      </x:c>
      <x:c r="J8" t="str">
        <x:v>E2 Fundamentos de ingeniería</x:v>
      </x:c>
    </x:row>
    <x:row r="9">
      <x:c r="A9" t="str">
        <x:v>A07</x:v>
      </x:c>
      <x:c r="B9" t="str">
        <x:v>Tecnologías Sectoriales Agroalimentarias</x:v>
      </x:c>
      <x:c r="C9" t="n">
        <x:v>10</x:v>
      </x:c>
      <x:c r="D9" t="n">
        <x:v>9</x:v>
      </x:c>
      <x:c r="E9" s="28" t="n">
        <x:v>0.6923076923076923</x:v>
      </x:c>
      <x:c r="F9" t="n">
        <x:v>12</x:v>
      </x:c>
      <x:c r="G9" s="28" t="n">
        <x:v>0.5714285714285714</x:v>
      </x:c>
      <x:c r="H9" s="28" t="n">
        <x:v>0.056018518518518516</x:v>
      </x:c>
      <x:c r="I9" s="30" t="n">
        <x:v>58.333333333333336</x:v>
      </x:c>
      <x:c r="J9" t="str">
        <x:v>E3 Formación profesional</x:v>
      </x:c>
    </x:row>
    <x:row r="10">
      <x:c r="A10" t="str">
        <x:v>A08</x:v>
      </x:c>
      <x:c r="B10" t="str">
        <x:v>Calidad, Inocuidad, Análisis y Regulación</x:v>
      </x:c>
      <x:c r="C10" t="n">
        <x:v>7</x:v>
      </x:c>
      <x:c r="D10" t="n">
        <x:v>12</x:v>
      </x:c>
      <x:c r="E10" s="28" t="n">
        <x:v>0.9230769230769231</x:v>
      </x:c>
      <x:c r="F10" t="n">
        <x:v>16</x:v>
      </x:c>
      <x:c r="G10" s="28" t="n">
        <x:v>0.7619047619047619</x:v>
      </x:c>
      <x:c r="H10" s="28" t="n">
        <x:v>0.0667824074074074</x:v>
      </x:c>
      <x:c r="I10" s="30" t="n">
        <x:v>68.75</x:v>
      </x:c>
      <x:c r="J10" t="str">
        <x:v>E3 Formación profesional</x:v>
      </x:c>
    </x:row>
    <x:row r="11">
      <x:c r="A11" t="str">
        <x:v>A09</x:v>
      </x:c>
      <x:c r="B11" t="str">
        <x:v>Plantas, Equipos, Automatización y Digitalización</x:v>
      </x:c>
      <x:c r="C11" t="n">
        <x:v>8</x:v>
      </x:c>
      <x:c r="D11" t="n">
        <x:v>12</x:v>
      </x:c>
      <x:c r="E11" s="28" t="n">
        <x:v>0.9230769230769231</x:v>
      </x:c>
      <x:c r="F11" t="n">
        <x:v>16</x:v>
      </x:c>
      <x:c r="G11" s="28" t="n">
        <x:v>0.7619047619047619</x:v>
      </x:c>
      <x:c r="H11" s="28" t="n">
        <x:v>0.05462962962962963</x:v>
      </x:c>
      <x:c r="I11" s="30" t="n">
        <x:v>56.25</x:v>
      </x:c>
      <x:c r="J11" t="str">
        <x:v>E3 Formación profesional</x:v>
      </x:c>
    </x:row>
    <x:row r="12">
      <x:c r="A12" t="str">
        <x:v>A10</x:v>
      </x:c>
      <x:c r="B12" t="str">
        <x:v>Producción Agropecuaria, Materias Primas y Territorio</x:v>
      </x:c>
      <x:c r="C12" t="n">
        <x:v>7</x:v>
      </x:c>
      <x:c r="D12" t="n">
        <x:v>9</x:v>
      </x:c>
      <x:c r="E12" s="28" t="n">
        <x:v>0.6923076923076923</x:v>
      </x:c>
      <x:c r="F12" t="n">
        <x:v>13</x:v>
      </x:c>
      <x:c r="G12" s="28" t="n">
        <x:v>0.6190476190476191</x:v>
      </x:c>
      <x:c r="H12" s="28" t="n">
        <x:v>0.07418981481481482</x:v>
      </x:c>
      <x:c r="I12" s="30" t="n">
        <x:v>18.75</x:v>
      </x:c>
      <x:c r="J12" t="str">
        <x:v>E1 Fundamentos</x:v>
      </x:c>
    </x:row>
    <x:row r="13">
      <x:c r="A13" t="str">
        <x:v>A11</x:v>
      </x:c>
      <x:c r="B13" t="str">
        <x:v>Ambiente, Sostenibilidad, Residuos y Circularidad</x:v>
      </x:c>
      <x:c r="C13" t="n">
        <x:v>6</x:v>
      </x:c>
      <x:c r="D13" t="n">
        <x:v>9</x:v>
      </x:c>
      <x:c r="E13" s="28" t="n">
        <x:v>0.6923076923076923</x:v>
      </x:c>
      <x:c r="F13" t="n">
        <x:v>15</x:v>
      </x:c>
      <x:c r="G13" s="28" t="n">
        <x:v>0.7142857142857143</x:v>
      </x:c>
      <x:c r="H13" s="28" t="n">
        <x:v>0.02013888888888889</x:v>
      </x:c>
      <x:c r="I13" s="30" t="n">
        <x:v>68.75</x:v>
      </x:c>
      <x:c r="J13" t="str">
        <x:v>E3 Formación profesional</x:v>
      </x:c>
    </x:row>
    <x:row r="14">
      <x:c r="A14" t="str">
        <x:v>A12</x:v>
      </x:c>
      <x:c r="B14" t="str">
        <x:v>Economía, Gestión, Marketing y Cadena de Suministro</x:v>
      </x:c>
      <x:c r="C14" t="n">
        <x:v>8</x:v>
      </x:c>
      <x:c r="D14" t="n">
        <x:v>12</x:v>
      </x:c>
      <x:c r="E14" s="28" t="n">
        <x:v>0.9230769230769231</x:v>
      </x:c>
      <x:c r="F14" t="n">
        <x:v>18</x:v>
      </x:c>
      <x:c r="G14" s="28" t="n">
        <x:v>0.8571428571428571</x:v>
      </x:c>
      <x:c r="H14" s="28" t="n">
        <x:v>0.05081018518518519</x:v>
      </x:c>
      <x:c r="I14" s="30" t="n">
        <x:v>28.125</x:v>
      </x:c>
      <x:c r="J14" t="str">
        <x:v>E2 Fundamentos de ingeniería</x:v>
      </x:c>
    </x:row>
    <x:row r="15">
      <x:c r="A15" t="str">
        <x:v>A13</x:v>
      </x:c>
      <x:c r="B15" t="str">
        <x:v>Nutrición, Salud, Sensorial y Consumidor</x:v>
      </x:c>
      <x:c r="C15" t="n">
        <x:v>3</x:v>
      </x:c>
      <x:c r="D15" t="n">
        <x:v>4</x:v>
      </x:c>
      <x:c r="E15" s="28" t="n">
        <x:v>0.3076923076923077</x:v>
      </x:c>
      <x:c r="F15" t="n">
        <x:v>7</x:v>
      </x:c>
      <x:c r="G15" s="28" t="n">
        <x:v>0.3333333333333333</x:v>
      </x:c>
      <x:c r="H15" s="28" t="n">
        <x:v>0.006597222222222222</x:v>
      </x:c>
      <x:c r="I15" s="30" t="n">
        <x:v>41.66666666666667</x:v>
      </x:c>
      <x:c r="J15" t="str">
        <x:v>E2 Fundamentos de ingeniería</x:v>
      </x:c>
    </x:row>
    <x:row r="16">
      <x:c r="A16" t="str">
        <x:v>A14</x:v>
      </x:c>
      <x:c r="B16" t="str">
        <x:v>Innovación, I+D y Desarrollo de Producto</x:v>
      </x:c>
      <x:c r="C16" t="n">
        <x:v>4</x:v>
      </x:c>
      <x:c r="D16" t="n">
        <x:v>5</x:v>
      </x:c>
      <x:c r="E16" s="28" t="n">
        <x:v>0.38461538461538464</x:v>
      </x:c>
      <x:c r="F16" t="n">
        <x:v>10</x:v>
      </x:c>
      <x:c r="G16" s="28" t="n">
        <x:v>0.47619047619047616</x:v>
      </x:c>
      <x:c r="H16" s="28" t="n">
        <x:v>0.005092592592592592</x:v>
      </x:c>
      <x:c r="I16" s="30" t="n">
        <x:v>91.66666666666666</x:v>
      </x:c>
      <x:c r="J16" t="str">
        <x:v>E4 Integración/especialización</x:v>
      </x:c>
    </x:row>
    <x:row r="17">
      <x:c r="A17" t="str">
        <x:v>A15</x:v>
      </x:c>
      <x:c r="B17" t="str">
        <x:v>Integración Profesional, Proyectos, Prácticas y Titulación</x:v>
      </x:c>
      <x:c r="C17" t="n">
        <x:v>8</x:v>
      </x:c>
      <x:c r="D17" t="n">
        <x:v>13</x:v>
      </x:c>
      <x:c r="E17" s="28" t="n">
        <x:v>1</x:v>
      </x:c>
      <x:c r="F17" t="n">
        <x:v>21</x:v>
      </x:c>
      <x:c r="G17" s="28" t="n">
        <x:v>1</x:v>
      </x:c>
      <x:c r="H17" s="28" t="n">
        <x:v>0.07928240740740741</x:v>
      </x:c>
      <x:c r="I17" s="30" t="n">
        <x:v>68.75</x:v>
      </x:c>
      <x:c r="J17" t="str">
        <x:v>E3 Formación profesional</x:v>
      </x:c>
    </x:row>
    <x:row r="18">
      <x:c r="A18" t="str">
        <x:v>A16</x:v>
      </x:c>
      <x:c r="B18" t="str">
        <x:v>Comunicación, Idiomas, Ética y Formación Transversal</x:v>
      </x:c>
      <x:c r="C18" t="n">
        <x:v>6</x:v>
      </x:c>
      <x:c r="D18" t="n">
        <x:v>5</x:v>
      </x:c>
      <x:c r="E18" s="28" t="n">
        <x:v>0.38461538461538464</x:v>
      </x:c>
      <x:c r="F18" t="n">
        <x:v>10</x:v>
      </x:c>
      <x:c r="G18" s="28" t="n">
        <x:v>0.47619047619047616</x:v>
      </x:c>
      <x:c r="H18" s="28" t="n">
        <x:v>0.00949074074074074</x:v>
      </x:c>
      <x:c r="I18" s="30" t="n">
        <x:v>8.333333333333332</x:v>
      </x:c>
      <x:c r="J18" t="str">
        <x:v>E1 Fundamentos</x:v>
      </x:c>
    </x:row>
  </x:sheetData>
  <x:conditionalFormatting sqref="H2:H18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{74B66F42-3522-8EAC-A945-F187BDE8A7AD}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4B66F42-3522-8EAC-A945-F187BDE8A7AD}">
            <x14:dataBar gradient="1">
              <x14:cfvo type="min"/>
              <x14:cfvo type="max"/>
              <x14:fillColor rgb="FF156082"/>
            </x14:dataBar>
          </x14:cfRule>
          <xm:sqref>H2:H18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20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45" hidden="0" customWidth="1"/>
  </x:cols>
  <x:sheetData>
    <x:row r="1">
      <x:c r="A1" s="5" t="str">
        <x:v>FAMILIAS UNIVERSALES / NÚCLEO — presencia &gt;=75% en 13 currículos Core Bachelor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4" t="str">
        <x:v>ID_Area</x:v>
      </x:c>
      <x:c r="B3" s="14" t="str">
        <x:v>Area</x:v>
      </x:c>
      <x:c r="C3" s="14" t="str">
        <x:v>ID_Familia</x:v>
      </x:c>
      <x:c r="D3" s="14" t="str">
        <x:v>Familia</x:v>
      </x:c>
      <x:c r="E3" s="14" t="str">
        <x:v>Presencia_Core_pct</x:v>
      </x:c>
      <x:c r="F3" s="14" t="str">
        <x:v>Presencia_Core_Obligatoria_pct</x:v>
      </x:c>
      <x:c r="G3" s="14" t="str">
        <x:v>Peso_Obligatorio_Promedio_Core_pct</x:v>
      </x:c>
      <x:c r="H3" s="14" t="str">
        <x:v>Primera_Aparicion_Mediana_pct</x:v>
      </x:c>
      <x:c r="I3" s="14" t="str">
        <x:v>Etapa</x:v>
      </x:c>
      <x:c r="J3" s="14" t="str">
        <x:v>Profundidad</x:v>
      </x:c>
      <x:c r="K3" s="14" t="str">
        <x:v>Experimental_pct</x:v>
      </x:c>
      <x:c r="L3" s="14" t="str">
        <x:v>Computacional_pct</x:v>
      </x:c>
      <x:c r="M3" s="14" t="str">
        <x:v>Prioridad_Senal_EPN</x:v>
      </x:c>
      <x:c r="N3" s="14" t="str">
        <x:v>Temas_EPN</x:v>
      </x:c>
    </x:row>
    <x:row r="4">
      <x:c r="A4" s="26" t="str">
        <x:v>A01</x:v>
      </x:c>
      <x:c r="B4" s="26" t="str">
        <x:v>Matemáticas, Estadística y Computación</x:v>
      </x:c>
      <x:c r="C4" s="26" t="str">
        <x:v>F0101</x:v>
      </x:c>
      <x:c r="D4" s="26" t="str">
        <x:v>Cálculo y matemática general</x:v>
      </x:c>
      <x:c r="E4" s="32" t="n">
        <x:v>1</x:v>
      </x:c>
      <x:c r="F4" s="32" t="n">
        <x:v>1</x:v>
      </x:c>
      <x:c r="G4" s="32" t="n">
        <x:v>0.04537037037037037</x:v>
      </x:c>
      <x:c r="H4" s="34" t="n">
        <x:v>8.333333333333332</x:v>
      </x:c>
      <x:c r="I4" s="26" t="str">
        <x:v>E1 Fundamentos</x:v>
      </x:c>
      <x:c r="J4" s="26" t="str">
        <x:v>N1</x:v>
      </x:c>
      <x:c r="K4" s="32" t="n">
        <x:v>0</x:v>
      </x:c>
      <x:c r="L4" s="32" t="n">
        <x:v>0</x:v>
      </x:c>
      <x:c r="M4" s="26" t="str"/>
      <x:c r="N4" s="26" t="str"/>
    </x:row>
    <x:row r="5">
      <x:c r="A5" s="26" t="str">
        <x:v>A02</x:v>
      </x:c>
      <x:c r="B5" s="26" t="str">
        <x:v>Física y Química Fundamental</x:v>
      </x:c>
      <x:c r="C5" s="26" t="str">
        <x:v>F0201</x:v>
      </x:c>
      <x:c r="D5" s="26" t="str">
        <x:v>Física general y aplicada</x:v>
      </x:c>
      <x:c r="E5" s="32" t="n">
        <x:v>1</x:v>
      </x:c>
      <x:c r="F5" s="32" t="n">
        <x:v>1</x:v>
      </x:c>
      <x:c r="G5" s="32" t="n">
        <x:v>0.04537037037037037</x:v>
      </x:c>
      <x:c r="H5" s="34" t="n">
        <x:v>8.333333333333332</x:v>
      </x:c>
      <x:c r="I5" s="26" t="str">
        <x:v>E1 Fundamentos</x:v>
      </x:c>
      <x:c r="J5" s="26" t="str">
        <x:v>N1</x:v>
      </x:c>
      <x:c r="K5" s="32" t="n">
        <x:v>0</x:v>
      </x:c>
      <x:c r="L5" s="32" t="n">
        <x:v>0</x:v>
      </x:c>
      <x:c r="M5" s="26" t="str"/>
      <x:c r="N5" s="26" t="str"/>
    </x:row>
    <x:row r="6">
      <x:c r="A6" s="26" t="str">
        <x:v>A02</x:v>
      </x:c>
      <x:c r="B6" s="26" t="str">
        <x:v>Física y Química Fundamental</x:v>
      </x:c>
      <x:c r="C6" s="26" t="str">
        <x:v>F0202</x:v>
      </x:c>
      <x:c r="D6" s="26" t="str">
        <x:v>Química general e inorgánica</x:v>
      </x:c>
      <x:c r="E6" s="32" t="n">
        <x:v>1</x:v>
      </x:c>
      <x:c r="F6" s="32" t="n">
        <x:v>1</x:v>
      </x:c>
      <x:c r="G6" s="32" t="n">
        <x:v>0.04212962962962963</x:v>
      </x:c>
      <x:c r="H6" s="34" t="n">
        <x:v>8.333333333333332</x:v>
      </x:c>
      <x:c r="I6" s="26" t="str">
        <x:v>E1 Fundamentos</x:v>
      </x:c>
      <x:c r="J6" s="26" t="str">
        <x:v>N1</x:v>
      </x:c>
      <x:c r="K6" s="32" t="n">
        <x:v>0.15384615384615385</x:v>
      </x:c>
      <x:c r="L6" s="32" t="n">
        <x:v>0</x:v>
      </x:c>
      <x:c r="M6" s="26" t="str"/>
      <x:c r="N6" s="26" t="str"/>
    </x:row>
    <x:row r="7">
      <x:c r="A7" s="26" t="str">
        <x:v>A05</x:v>
      </x:c>
      <x:c r="B7" s="26" t="str">
        <x:v>Ingeniería de Procesos y Operaciones Unitarias</x:v>
      </x:c>
      <x:c r="C7" s="26" t="str">
        <x:v>F0502</x:v>
      </x:c>
      <x:c r="D7" s="26" t="str">
        <x:v>Operaciones unitarias generales</x:v>
      </x:c>
      <x:c r="E7" s="32" t="n">
        <x:v>0.8461538461538461</x:v>
      </x:c>
      <x:c r="F7" s="32" t="n">
        <x:v>0.8461538461538461</x:v>
      </x:c>
      <x:c r="G7" s="32" t="n">
        <x:v>0.03263888888888889</x:v>
      </x:c>
      <x:c r="H7" s="34" t="n">
        <x:v>56.25</x:v>
      </x:c>
      <x:c r="I7" s="26" t="str">
        <x:v>E3 Formación profesional</x:v>
      </x:c>
      <x:c r="J7" s="26" t="str">
        <x:v>N2</x:v>
      </x:c>
      <x:c r="K7" s="32" t="n">
        <x:v>0</x:v>
      </x:c>
      <x:c r="L7" s="32" t="n">
        <x:v>0.09090909090909091</x:v>
      </x:c>
      <x:c r="M7" s="26" t="str">
        <x:v>Alta</x:v>
      </x:c>
      <x:c r="N7" s="26" t="str">
        <x:v>Optimización de procesos</x:v>
      </x:c>
    </x:row>
    <x:row r="8">
      <x:c r="A8" s="26" t="str">
        <x:v>A08</x:v>
      </x:c>
      <x:c r="B8" s="26" t="str">
        <x:v>Calidad, Inocuidad, Análisis y Regulación</x:v>
      </x:c>
      <x:c r="C8" s="26" t="str">
        <x:v>F0803</x:v>
      </x:c>
      <x:c r="D8" s="26" t="str">
        <x:v>Gestión y aseguramiento de la calidad</x:v>
      </x:c>
      <x:c r="E8" s="32" t="n">
        <x:v>0.8461538461538461</x:v>
      </x:c>
      <x:c r="F8" s="32" t="n">
        <x:v>0.7692307692307693</x:v>
      </x:c>
      <x:c r="G8" s="32" t="n">
        <x:v>0.02465277777777778</x:v>
      </x:c>
      <x:c r="H8" s="34" t="n">
        <x:v>75</x:v>
      </x:c>
      <x:c r="I8" s="26" t="str">
        <x:v>E3 Formación profesional</x:v>
      </x:c>
      <x:c r="J8" s="26" t="str">
        <x:v>N2</x:v>
      </x:c>
      <x:c r="K8" s="32" t="n">
        <x:v>0</x:v>
      </x:c>
      <x:c r="L8" s="32" t="n">
        <x:v>0</x:v>
      </x:c>
      <x:c r="M8" s="26" t="str">
        <x:v>Alta</x:v>
      </x:c>
      <x:c r="N8" s="26" t="str">
        <x:v>Calidad, inocuidad y BPM</x:v>
      </x:c>
    </x:row>
    <x:row r="9">
      <x:c r="A9" s="26" t="str">
        <x:v>A03</x:v>
      </x:c>
      <x:c r="B9" s="26" t="str">
        <x:v>Biología, Bioquímica, Microbiología y Biotecnología</x:v>
      </x:c>
      <x:c r="C9" s="26" t="str">
        <x:v>F0301</x:v>
      </x:c>
      <x:c r="D9" s="26" t="str">
        <x:v>Biología y fisiología</x:v>
      </x:c>
      <x:c r="E9" s="32" t="n">
        <x:v>0.7692307692307693</x:v>
      </x:c>
      <x:c r="F9" s="32" t="n">
        <x:v>0.7692307692307693</x:v>
      </x:c>
      <x:c r="G9" s="32" t="n">
        <x:v>0.029108796296296296</x:v>
      </x:c>
      <x:c r="H9" s="34" t="n">
        <x:v>8.333333333333332</x:v>
      </x:c>
      <x:c r="I9" s="26" t="str">
        <x:v>E1 Fundamentos</x:v>
      </x:c>
      <x:c r="J9" s="26" t="str">
        <x:v>N1</x:v>
      </x:c>
      <x:c r="K9" s="32" t="n">
        <x:v>0</x:v>
      </x:c>
      <x:c r="L9" s="32" t="n">
        <x:v>0</x:v>
      </x:c>
      <x:c r="M9" s="26" t="str"/>
      <x:c r="N9" s="26" t="str"/>
    </x:row>
    <x:row r="10">
      <x:c r="A10" s="26" t="str">
        <x:v>A03</x:v>
      </x:c>
      <x:c r="B10" s="26" t="str">
        <x:v>Biología, Bioquímica, Microbiología y Biotecnología</x:v>
      </x:c>
      <x:c r="C10" s="26" t="str">
        <x:v>F0303</x:v>
      </x:c>
      <x:c r="D10" s="26" t="str">
        <x:v>Microbiología general</x:v>
      </x:c>
      <x:c r="E10" s="32" t="n">
        <x:v>0.7692307692307693</x:v>
      </x:c>
      <x:c r="F10" s="32" t="n">
        <x:v>0.7692307692307693</x:v>
      </x:c>
      <x:c r="G10" s="32" t="n">
        <x:v>0.03796296296296296</x:v>
      </x:c>
      <x:c r="H10" s="34" t="n">
        <x:v>41.66666666666667</x:v>
      </x:c>
      <x:c r="I10" s="26" t="str">
        <x:v>E2 Fundamentos de ingeniería</x:v>
      </x:c>
      <x:c r="J10" s="26" t="str">
        <x:v>N1</x:v>
      </x:c>
      <x:c r="K10" s="32" t="n">
        <x:v>0.2</x:v>
      </x:c>
      <x:c r="L10" s="32" t="n">
        <x:v>0</x:v>
      </x:c>
      <x:c r="M10" s="26" t="str"/>
      <x:c r="N10" s="26" t="str"/>
    </x:row>
  </x:sheetData>
  <x:mergeCells>
    <x:mergeCell ref="A1:N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20" hidden="0" customWidth="1"/>
    <x:col min="4" max="4" width="4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8" hidden="0" customWidth="1"/>
    <x:col min="12" max="12" width="48" hidden="0" customWidth="1"/>
  </x:cols>
  <x:sheetData>
    <x:row r="1">
      <x:c r="A1" s="5" t="str">
        <x:v>FAMILIAS EMERGENTES / DE INNOVACIÓN — señal analítica separada de prevalencia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14" t="str">
        <x:v>ID_Area</x:v>
      </x:c>
      <x:c r="B3" s="14" t="str">
        <x:v>Area</x:v>
      </x:c>
      <x:c r="C3" s="14" t="str">
        <x:v>ID_Familia</x:v>
      </x:c>
      <x:c r="D3" s="14" t="str">
        <x:v>Familia</x:v>
      </x:c>
      <x:c r="E3" s="14" t="str">
        <x:v>Presencia_Core_pct</x:v>
      </x:c>
      <x:c r="F3" s="14" t="str">
        <x:v>Presencia_Master_pct</x:v>
      </x:c>
      <x:c r="G3" s="14" t="str">
        <x:v>Primera_Aparicion_Mediana_pct</x:v>
      </x:c>
      <x:c r="H3" s="14" t="str">
        <x:v>Etapa</x:v>
      </x:c>
      <x:c r="I3" s="14" t="str">
        <x:v>Senal_Emergente</x:v>
      </x:c>
      <x:c r="J3" s="14" t="str">
        <x:v>Prioridad_Senal_EPN</x:v>
      </x:c>
      <x:c r="K3" s="14" t="str">
        <x:v>Temas_EPN</x:v>
      </x:c>
      <x:c r="L3" s="14" t="str">
        <x:v>Interpretacion</x:v>
      </x:c>
    </x:row>
    <x:row r="4">
      <x:c r="A4" s="26" t="str">
        <x:v>A11</x:v>
      </x:c>
      <x:c r="B4" s="26" t="str">
        <x:v>Ambiente, Sostenibilidad, Residuos y Circularidad</x:v>
      </x:c>
      <x:c r="C4" s="26" t="str">
        <x:v>F1105</x:v>
      </x:c>
      <x:c r="D4" s="26" t="str">
        <x:v>Sostenibilidad y economía circular</x:v>
      </x:c>
      <x:c r="E4" s="32" t="n">
        <x:v>0.07692307692307693</x:v>
      </x:c>
      <x:c r="F4" s="32" t="n">
        <x:v>0.42857142857142855</x:v>
      </x:c>
      <x:c r="G4" s="34" t="n">
        <x:v>75</x:v>
      </x:c>
      <x:c r="H4" s="26" t="str">
        <x:v>E3 Formación profesional</x:v>
      </x:c>
      <x:c r="I4" s="26" t="str">
        <x:v>Emergente desde nivel avanzado</x:v>
      </x:c>
      <x:c r="J4" s="26" t="str">
        <x:v>Alta</x:v>
      </x:c>
      <x:c r="K4" s="26" t="str">
        <x:v>Sostenibilidad, circularidad y energía</x:v>
      </x:c>
      <x:c r="L4" s="26" t="str">
        <x:v>La familia aparece principalmente en referentes Ingénieur/Master y puede anticipar modernización futura del grado.</x:v>
      </x:c>
    </x:row>
    <x:row r="5">
      <x:c r="A5" s="26" t="str">
        <x:v>A01</x:v>
      </x:c>
      <x:c r="B5" s="26" t="str">
        <x:v>Matemáticas, Estadística y Computación</x:v>
      </x:c>
      <x:c r="C5" s="26" t="str">
        <x:v>F0108</x:v>
      </x:c>
      <x:c r="D5" s="26" t="str">
        <x:v>Ciencia de datos, IA y analítica</x:v>
      </x:c>
      <x:c r="E5" s="32" t="n">
        <x:v>0</x:v>
      </x:c>
      <x:c r="F5" s="32" t="n">
        <x:v>0.42857142857142855</x:v>
      </x:c>
      <x:c r="G5" s="34"/>
      <x:c r="H5" s="26" t="str">
        <x:v>NR</x:v>
      </x:c>
      <x:c r="I5" s="26" t="str">
        <x:v>Emergente desde nivel avanzado</x:v>
      </x:c>
      <x:c r="J5" s="26" t="str">
        <x:v>Alta</x:v>
      </x:c>
      <x:c r="K5" s="26" t="str">
        <x:v>Datos, programación e IA</x:v>
      </x:c>
      <x:c r="L5" s="26" t="str">
        <x:v>La familia aparece principalmente en referentes Ingénieur/Master y puede anticipar modernización futura del grado.</x:v>
      </x:c>
    </x:row>
    <x:row r="6">
      <x:c r="A6" s="26" t="str">
        <x:v>A11</x:v>
      </x:c>
      <x:c r="B6" s="26" t="str">
        <x:v>Ambiente, Sostenibilidad, Residuos y Circularidad</x:v>
      </x:c>
      <x:c r="C6" s="26" t="str">
        <x:v>F1103</x:v>
      </x:c>
      <x:c r="D6" s="26" t="str">
        <x:v>Residuos, subproductos y valorización</x:v>
      </x:c>
      <x:c r="E6" s="32" t="n">
        <x:v>0.3076923076923077</x:v>
      </x:c>
      <x:c r="F6" s="32" t="n">
        <x:v>0.2857142857142857</x:v>
      </x:c>
      <x:c r="G6" s="34" t="n">
        <x:v>81.25</x:v>
      </x:c>
      <x:c r="H6" s="26" t="str">
        <x:v>E4 Integración/especialización</x:v>
      </x:c>
      <x:c r="I6" s="26" t="str">
        <x:v>Emergente en grado</x:v>
      </x:c>
      <x:c r="J6" s="26" t="str">
        <x:v>Alta</x:v>
      </x:c>
      <x:c r="K6" s="26" t="str">
        <x:v>Sostenibilidad, circularidad y energía</x:v>
      </x:c>
      <x:c r="L6" s="26" t="str">
        <x:v>La tendencia ya aparece en programas de grado, pero aún no es consolidada.</x:v>
      </x:c>
    </x:row>
    <x:row r="7">
      <x:c r="A7" s="26" t="str">
        <x:v>A09</x:v>
      </x:c>
      <x:c r="B7" s="26" t="str">
        <x:v>Plantas, Equipos, Automatización y Digitalización</x:v>
      </x:c>
      <x:c r="C7" s="26" t="str">
        <x:v>F0906</x:v>
      </x:c>
      <x:c r="D7" s="26" t="str">
        <x:v>Robótica, digitalización e Industria 4.0</x:v>
      </x:c>
      <x:c r="E7" s="32" t="n">
        <x:v>0.23076923076923078</x:v>
      </x:c>
      <x:c r="F7" s="32" t="n">
        <x:v>0.2857142857142857</x:v>
      </x:c>
      <x:c r="G7" s="34" t="n">
        <x:v>93.75</x:v>
      </x:c>
      <x:c r="H7" s="26" t="str">
        <x:v>E4 Integración/especialización</x:v>
      </x:c>
      <x:c r="I7" s="26" t="str">
        <x:v>Emergente en grado</x:v>
      </x:c>
      <x:c r="J7" s="26" t="str">
        <x:v>Alta</x:v>
      </x:c>
      <x:c r="K7" s="26" t="str">
        <x:v>Datos, programación e IA</x:v>
      </x:c>
      <x:c r="L7" s="26" t="str">
        <x:v>La tendencia ya aparece en programas de grado, pero aún no es consolidada.</x:v>
      </x:c>
    </x:row>
    <x:row r="8">
      <x:c r="A8" s="26" t="str">
        <x:v>A11</x:v>
      </x:c>
      <x:c r="B8" s="26" t="str">
        <x:v>Ambiente, Sostenibilidad, Residuos y Circularidad</x:v>
      </x:c>
      <x:c r="C8" s="26" t="str">
        <x:v>F1102</x:v>
      </x:c>
      <x:c r="D8" s="26" t="str">
        <x:v>Análisis de ciclo de vida y ecodiseño</x:v>
      </x:c>
      <x:c r="E8" s="32" t="n">
        <x:v>0.15384615384615385</x:v>
      </x:c>
      <x:c r="F8" s="32" t="n">
        <x:v>0.14285714285714285</x:v>
      </x:c>
      <x:c r="G8" s="34" t="n">
        <x:v>87.5</x:v>
      </x:c>
      <x:c r="H8" s="26" t="str">
        <x:v>E4 Integración/especialización</x:v>
      </x:c>
      <x:c r="I8" s="26" t="str">
        <x:v>Emergente en grado</x:v>
      </x:c>
      <x:c r="J8" s="26" t="str">
        <x:v>Alta</x:v>
      </x:c>
      <x:c r="K8" s="26" t="str">
        <x:v>Sostenibilidad, circularidad y energía</x:v>
      </x:c>
      <x:c r="L8" s="26" t="str">
        <x:v>La tendencia ya aparece en programas de grado, pero aún no es consolidada.</x:v>
      </x:c>
    </x:row>
    <x:row r="9">
      <x:c r="A9" s="26" t="str">
        <x:v>A14</x:v>
      </x:c>
      <x:c r="B9" s="26" t="str">
        <x:v>Innovación, I+D y Desarrollo de Producto</x:v>
      </x:c>
      <x:c r="C9" s="26" t="str">
        <x:v>F1401</x:v>
      </x:c>
      <x:c r="D9" s="26" t="str">
        <x:v>Desarrollo e innovación de productos alimentarios</x:v>
      </x:c>
      <x:c r="E9" s="32" t="n">
        <x:v>0.38461538461538464</x:v>
      </x:c>
      <x:c r="F9" s="32" t="n">
        <x:v>0.5714285714285714</x:v>
      </x:c>
      <x:c r="G9" s="34" t="n">
        <x:v>91.66666666666666</x:v>
      </x:c>
      <x:c r="H9" s="26" t="str">
        <x:v>E4 Integración/especialización</x:v>
      </x:c>
      <x:c r="I9" s="26" t="str">
        <x:v>Emergente en grado</x:v>
      </x:c>
      <x:c r="J9" s="26" t="str">
        <x:v>Media</x:v>
      </x:c>
      <x:c r="K9" s="26" t="str">
        <x:v>Innovación y nuevos productos</x:v>
      </x:c>
      <x:c r="L9" s="26" t="str">
        <x:v>La tendencia ya aparece en programas de grado, pero aún no es consolidada.</x:v>
      </x:c>
    </x:row>
    <x:row r="10">
      <x:c r="A10" s="26" t="str">
        <x:v>A14</x:v>
      </x:c>
      <x:c r="B10" s="26" t="str">
        <x:v>Innovación, I+D y Desarrollo de Producto</x:v>
      </x:c>
      <x:c r="C10" s="26" t="str">
        <x:v>F1403</x:v>
      </x:c>
      <x:c r="D10" s="26" t="str">
        <x:v>Investigación y desarrollo aplicado</x:v>
      </x:c>
      <x:c r="E10" s="32" t="n">
        <x:v>0</x:v>
      </x:c>
      <x:c r="F10" s="32" t="n">
        <x:v>0.2857142857142857</x:v>
      </x:c>
      <x:c r="G10" s="34"/>
      <x:c r="H10" s="26" t="str">
        <x:v>NR</x:v>
      </x:c>
      <x:c r="I10" s="26" t="str">
        <x:v>Emergente desde nivel avanzado</x:v>
      </x:c>
      <x:c r="J10" s="26" t="str">
        <x:v>Media</x:v>
      </x:c>
      <x:c r="K10" s="26" t="str">
        <x:v>Innovación y nuevos productos</x:v>
      </x:c>
      <x:c r="L10" s="26" t="str">
        <x:v>La familia aparece principalmente en referentes Ingénieur/Master y puede anticipar modernización futura del grado.</x:v>
      </x:c>
    </x:row>
    <x:row r="11">
      <x:c r="A11" s="26" t="str">
        <x:v>A12</x:v>
      </x:c>
      <x:c r="B11" s="26" t="str">
        <x:v>Economía, Gestión, Marketing y Cadena de Suministro</x:v>
      </x:c>
      <x:c r="C11" s="26" t="str">
        <x:v>F1208</x:v>
      </x:c>
      <x:c r="D11" s="26" t="str">
        <x:v>Emprendimiento y modelos de negocio</x:v>
      </x:c>
      <x:c r="E11" s="32" t="n">
        <x:v>0.23076923076923078</x:v>
      </x:c>
      <x:c r="F11" s="32" t="n">
        <x:v>0.14285714285714285</x:v>
      </x:c>
      <x:c r="G11" s="34" t="n">
        <x:v>81.25</x:v>
      </x:c>
      <x:c r="H11" s="26" t="str">
        <x:v>E4 Integración/especialización</x:v>
      </x:c>
      <x:c r="I11" s="26" t="str">
        <x:v>Emergente en grado</x:v>
      </x:c>
      <x:c r="J11" s="26" t="str">
        <x:v>Media</x:v>
      </x:c>
      <x:c r="K11" s="26" t="str">
        <x:v>Marketing, gestión y emprendimiento</x:v>
      </x:c>
      <x:c r="L11" s="26" t="str">
        <x:v>La tendencia ya aparece en programas de grado, pero aún no es consolidada.</x:v>
      </x:c>
    </x:row>
    <x:row r="12">
      <x:c r="A12" s="26" t="str">
        <x:v>A06</x:v>
      </x:c>
      <x:c r="B12" s="26" t="str">
        <x:v>Ciencia y Tecnología General de Alimentos</x:v>
      </x:c>
      <x:c r="C12" s="26" t="str">
        <x:v>F0605</x:v>
      </x:c>
      <x:c r="D12" s="26" t="str">
        <x:v>Conservación de alimentos y tecnologías emergentes</x:v>
      </x:c>
      <x:c r="E12" s="32" t="n">
        <x:v>0.38461538461538464</x:v>
      </x:c>
      <x:c r="F12" s="32" t="n">
        <x:v>0</x:v>
      </x:c>
      <x:c r="G12" s="34" t="n">
        <x:v>68.75</x:v>
      </x:c>
      <x:c r="H12" s="26" t="str">
        <x:v>E3 Formación profesional</x:v>
      </x:c>
      <x:c r="I12" s="26" t="str">
        <x:v>Emergente en grado</x:v>
      </x:c>
      <x:c r="J12" s="26" t="str"/>
      <x:c r="K12" s="26" t="str"/>
      <x:c r="L12" s="26" t="str">
        <x:v>La tendencia ya aparece en programas de grado, pero aún no es consolidada.</x:v>
      </x:c>
    </x:row>
  </x:sheetData>
  <x:mergeCells>
    <x:mergeCell ref="A1:L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30" hidden="0" customWidth="1"/>
    <x:col min="4" max="4" width="30" hidden="0" customWidth="1"/>
    <x:col min="5" max="5" width="16" hidden="0" customWidth="1"/>
    <x:col min="6" max="6" width="16" hidden="0" customWidth="1"/>
    <x:col min="7" max="7" width="48" hidden="0" customWidth="1"/>
    <x:col min="8" max="8" width="48" hidden="0" customWidth="1"/>
    <x:col min="9" max="9" width="44" hidden="0" customWidth="1"/>
    <x:col min="10" max="10" width="14" hidden="0" customWidth="1"/>
  </x:cols>
  <x:sheetData>
    <x:row r="1">
      <x:c r="A1" s="14" t="str">
        <x:v>ID</x:v>
      </x:c>
      <x:c r="B1" s="14" t="str">
        <x:v>Tema</x:v>
      </x:c>
      <x:c r="C1" s="14" t="str">
        <x:v>Fuente_EPN</x:v>
      </x:c>
      <x:c r="D1" s="14" t="str">
        <x:v>Indicador</x:v>
      </x:c>
      <x:c r="E1" s="14" t="str">
        <x:v>Valor</x:v>
      </x:c>
      <x:c r="F1" s="14" t="str">
        <x:v>Prioridad</x:v>
      </x:c>
      <x:c r="G1" s="14" t="str">
        <x:v>Familias_Normalizadas_Relacionadas</x:v>
      </x:c>
      <x:c r="H1" s="14" t="str">
        <x:v>Implicacion_para_rediseño</x:v>
      </x:c>
      <x:c r="I1" s="14" t="str">
        <x:v>Fuente_documento</x:v>
      </x:c>
      <x:c r="J1" s="14" t="str">
        <x:v>Paginas</x:v>
      </x:c>
    </x:row>
    <x:row r="2">
      <x:c r="A2" s="26" t="str">
        <x:v>EPN01</x:v>
      </x:c>
      <x:c r="B2" s="26" t="str">
        <x:v>Digitalización, datos e IA</x:v>
      </x:c>
      <x:c r="C2" s="26" t="str">
        <x:v>Encuesta graduados</x:v>
      </x:c>
      <x:c r="D2" s="26" t="str">
        <x:v>Importancia análisis de datos, ML e IA — niveles 4–5</x:v>
      </x:c>
      <x:c r="E2" s="38" t="n">
        <x:v>0.93</x:v>
      </x:c>
      <x:c r="F2" s="26" t="str">
        <x:v>Muy alta</x:v>
      </x:c>
      <x:c r="G2" s="26" t="str">
        <x:v>F0106; F0108; F0510; F0906</x:v>
      </x:c>
      <x:c r="H2" s="26" t="str">
        <x:v>Fortalecer programación, análisis de datos e IA aplicada a bioprocesos.</x:v>
      </x:c>
      <x:c r="I2" s="26" t="str">
        <x:v>Reporte_Ejecutivo_Ingenieria_Agroindustrial.docx</x:v>
      </x:c>
      <x:c r="J2" s="26" t="str">
        <x:v>6, 10, 11</x:v>
      </x:c>
    </x:row>
    <x:row r="3">
      <x:c r="A3" s="26" t="str">
        <x:v>EPN02</x:v>
      </x:c>
      <x:c r="B3" s="26" t="str">
        <x:v>Digitalización, datos e IA</x:v>
      </x:c>
      <x:c r="C3" s="26" t="str">
        <x:v>Encuesta graduados</x:v>
      </x:c>
      <x:c r="D3" s="26" t="str">
        <x:v>Muy importante</x:v>
      </x:c>
      <x:c r="E3" s="38" t="n">
        <x:v>0.72</x:v>
      </x:c>
      <x:c r="F3" s="26" t="str">
        <x:v>Muy alta</x:v>
      </x:c>
      <x:c r="G3" s="26" t="str">
        <x:v>F0106; F0108; F0510; F0906</x:v>
      </x:c>
      <x:c r="H3" s="26" t="str">
        <x:v>Actualizar contenidos con IA, datos y herramientas digitales.</x:v>
      </x:c>
      <x:c r="I3" s="26" t="str">
        <x:v>Reporte_Ejecutivo_Ingenieria_Agroindustrial.docx</x:v>
      </x:c>
      <x:c r="J3" s="26" t="str">
        <x:v>6</x:v>
      </x:c>
    </x:row>
    <x:row r="4">
      <x:c r="A4" s="26" t="str">
        <x:v>EPN03</x:v>
      </x:c>
      <x:c r="B4" s="26" t="str">
        <x:v>Sostenibilidad y energía</x:v>
      </x:c>
      <x:c r="C4" s="26" t="str">
        <x:v>Encuesta graduados</x:v>
      </x:c>
      <x:c r="D4" s="26" t="str">
        <x:v>Economía circular y energía renovable — niveles 4–5</x:v>
      </x:c>
      <x:c r="E4" s="38" t="n">
        <x:v>0.65</x:v>
      </x:c>
      <x:c r="F4" s="26" t="str">
        <x:v>Alta</x:v>
      </x:c>
      <x:c r="G4" s="26" t="str">
        <x:v>F1102; F1103; F1105; F1106; F0908</x:v>
      </x:c>
      <x:c r="H4" s="26" t="str">
        <x:v>Reforzar sostenibilidad, circularidad y renovables como eje transversal.</x:v>
      </x:c>
      <x:c r="I4" s="26" t="str">
        <x:v>Reporte_Ejecutivo_Ingenieria_Agroindustrial.docx</x:v>
      </x:c>
      <x:c r="J4" s="26" t="str">
        <x:v>7, 10, 11</x:v>
      </x:c>
    </x:row>
    <x:row r="5">
      <x:c r="A5" s="26" t="str">
        <x:v>EPN04</x:v>
      </x:c>
      <x:c r="B5" s="26" t="str">
        <x:v>Inglés técnico</x:v>
      </x:c>
      <x:c r="C5" s="26" t="str">
        <x:v>Encuesta graduados</x:v>
      </x:c>
      <x:c r="D5" s="26" t="str">
        <x:v>Influencia del inglés en desempeño laboral — niveles 4–5</x:v>
      </x:c>
      <x:c r="E5" s="38" t="n">
        <x:v>0.86</x:v>
      </x:c>
      <x:c r="F5" s="26" t="str">
        <x:v>Muy alta</x:v>
      </x:c>
      <x:c r="G5" s="26" t="str">
        <x:v>F1601; F1602</x:v>
      </x:c>
      <x:c r="H5" s="26" t="str">
        <x:v>Evaluar módulos/asignaturas en inglés técnico y comunicación profesional.</x:v>
      </x:c>
      <x:c r="I5" s="26" t="str">
        <x:v>Reporte_Ejecutivo_Ingenieria_Agroindustrial.docx</x:v>
      </x:c>
      <x:c r="J5" s="26" t="str">
        <x:v>6, 10</x:v>
      </x:c>
    </x:row>
    <x:row r="6">
      <x:c r="A6" s="26" t="str">
        <x:v>EPN05</x:v>
      </x:c>
      <x:c r="B6" s="26" t="str">
        <x:v>Optimización de procesos</x:v>
      </x:c>
      <x:c r="C6" s="26" t="str">
        <x:v>Encuesta graduados</x:v>
      </x:c>
      <x:c r="D6" s="26" t="str">
        <x:v>Competencia técnica priorizada</x:v>
      </x:c>
      <x:c r="E6" s="38" t="n">
        <x:v>0.53</x:v>
      </x:c>
      <x:c r="F6" s="26" t="str">
        <x:v>Alta</x:v>
      </x:c>
      <x:c r="G6" s="26" t="str">
        <x:v>F0502; F0510; F1206</x:v>
      </x:c>
      <x:c r="H6" s="26" t="str">
        <x:v>Reforzar optimización de procesos y toma de decisiones.</x:v>
      </x:c>
      <x:c r="I6" s="26" t="str">
        <x:v>Reporte_Ejecutivo_Ingenieria_Agroindustrial.docx</x:v>
      </x:c>
      <x:c r="J6" s="26" t="str">
        <x:v>4, 10</x:v>
      </x:c>
    </x:row>
    <x:row r="7">
      <x:c r="A7" s="26" t="str">
        <x:v>EPN06</x:v>
      </x:c>
      <x:c r="B7" s="26" t="str">
        <x:v>Calidad e inocuidad</x:v>
      </x:c>
      <x:c r="C7" s="26" t="str">
        <x:v>Encuesta graduados</x:v>
      </x:c>
      <x:c r="D7" s="26" t="str">
        <x:v>Gestión de calidad y seguridad alimentaria priorizada</x:v>
      </x:c>
      <x:c r="E7" s="38" t="n">
        <x:v>0.5</x:v>
      </x:c>
      <x:c r="F7" s="26" t="str">
        <x:v>Alta</x:v>
      </x:c>
      <x:c r="G7" s="26" t="str">
        <x:v>F0803; F0804; F0805; F0807</x:v>
      </x:c>
      <x:c r="H7" s="26" t="str">
        <x:v>Mantener/reforzar calidad, inocuidad y certificaciones BPM.</x:v>
      </x:c>
      <x:c r="I7" s="26" t="str">
        <x:v>Reporte_Ejecutivo_Ingenieria_Agroindustrial.docx</x:v>
      </x:c>
      <x:c r="J7" s="26" t="str">
        <x:v>4, 8, 10</x:v>
      </x:c>
    </x:row>
    <x:row r="8">
      <x:c r="A8" s="26" t="str">
        <x:v>EPN07</x:v>
      </x:c>
      <x:c r="B8" s="26" t="str">
        <x:v>Innovación de producto</x:v>
      </x:c>
      <x:c r="C8" s="26" t="str">
        <x:v>Encuesta graduados</x:v>
      </x:c>
      <x:c r="D8" s="26" t="str">
        <x:v>Innovación y desarrollo de nuevos productos priorizada</x:v>
      </x:c>
      <x:c r="E8" s="38" t="n">
        <x:v>0.48</x:v>
      </x:c>
      <x:c r="F8" s="26" t="str">
        <x:v>Alta</x:v>
      </x:c>
      <x:c r="G8" s="26" t="str">
        <x:v>F1401; F1402; F1403; F1404</x:v>
      </x:c>
      <x:c r="H8" s="26" t="str">
        <x:v>Fortalecer innovación, desarrollo de producto e I+D aplicada.</x:v>
      </x:c>
      <x:c r="I8" s="26" t="str">
        <x:v>Reporte_Ejecutivo_Ingenieria_Agroindustrial.docx</x:v>
      </x:c>
      <x:c r="J8" s="26" t="str">
        <x:v>4</x:v>
      </x:c>
    </x:row>
    <x:row r="9">
      <x:c r="A9" s="26" t="str">
        <x:v>EPN08</x:v>
      </x:c>
      <x:c r="B9" s="26" t="str">
        <x:v>Comunicación y liderazgo</x:v>
      </x:c>
      <x:c r="C9" s="26" t="str">
        <x:v>Encuesta graduados</x:v>
      </x:c>
      <x:c r="D9" s="26" t="str">
        <x:v>Comunicación efectiva priorizada</x:v>
      </x:c>
      <x:c r="E9" s="38" t="n">
        <x:v>0.65</x:v>
      </x:c>
      <x:c r="F9" s="26" t="str">
        <x:v>Muy alta</x:v>
      </x:c>
      <x:c r="G9" s="26" t="str">
        <x:v>F1602; F1603; F1207</x:v>
      </x:c>
      <x:c r="H9" s="26" t="str">
        <x:v>Formación transversal en comunicación y liderazgo a lo largo de la malla.</x:v>
      </x:c>
      <x:c r="I9" s="26" t="str">
        <x:v>Reporte_Ejecutivo_Ingenieria_Agroindustrial.docx</x:v>
      </x:c>
      <x:c r="J9" s="26" t="str">
        <x:v>4, 8, 10, 11</x:v>
      </x:c>
    </x:row>
    <x:row r="10">
      <x:c r="A10" s="26" t="str">
        <x:v>EPN09</x:v>
      </x:c>
      <x:c r="B10" s="26" t="str">
        <x:v>Comunicación y liderazgo</x:v>
      </x:c>
      <x:c r="C10" s="26" t="str">
        <x:v>Encuesta graduados</x:v>
      </x:c>
      <x:c r="D10" s="26" t="str">
        <x:v>Liderazgo priorizado</x:v>
      </x:c>
      <x:c r="E10" s="38" t="n">
        <x:v>0.51</x:v>
      </x:c>
      <x:c r="F10" s="26" t="str">
        <x:v>Alta</x:v>
      </x:c>
      <x:c r="G10" s="26" t="str">
        <x:v>F1603; F1207</x:v>
      </x:c>
      <x:c r="H10" s="26" t="str">
        <x:v>Integrar liderazgo y habilidades blandas transversalmente.</x:v>
      </x:c>
      <x:c r="I10" s="26" t="str">
        <x:v>Reporte_Ejecutivo_Ingenieria_Agroindustrial.docx</x:v>
      </x:c>
      <x:c r="J10" s="26" t="str">
        <x:v>4, 8</x:v>
      </x:c>
    </x:row>
    <x:row r="11">
      <x:c r="A11" s="26" t="str">
        <x:v>EPN10</x:v>
      </x:c>
      <x:c r="B11" s="26" t="str">
        <x:v>Práctica e industria</x:v>
      </x:c>
      <x:c r="C11" s="26" t="str">
        <x:v>Encuesta graduados</x:v>
      </x:c>
      <x:c r="D11" s="26" t="str">
        <x:v>Demasiada teoría en desmedro de práctica</x:v>
      </x:c>
      <x:c r="E11" s="38" t="n">
        <x:v>0.66</x:v>
      </x:c>
      <x:c r="F11" s="26" t="str">
        <x:v>Muy alta</x:v>
      </x:c>
      <x:c r="G11" s="26" t="str">
        <x:v>F1501; F1502; F1505; F1507</x:v>
      </x:c>
      <x:c r="H11" s="26" t="str">
        <x:v>Rebalancear teoría-práctica y aumentar experiencias auténticas.</x:v>
      </x:c>
      <x:c r="I11" s="26" t="str">
        <x:v>Reporte_Ejecutivo_Ingenieria_Agroindustrial.docx</x:v>
      </x:c>
      <x:c r="J11" s="26" t="str">
        <x:v>5, 10, 11</x:v>
      </x:c>
    </x:row>
    <x:row r="12">
      <x:c r="A12" s="26" t="str">
        <x:v>EPN11</x:v>
      </x:c>
      <x:c r="B12" s="26" t="str">
        <x:v>Práctica e industria</x:v>
      </x:c>
      <x:c r="C12" s="26" t="str">
        <x:v>Encuesta graduados</x:v>
      </x:c>
      <x:c r="D12" s="26" t="str">
        <x:v>Escasas prácticas de laboratorio</x:v>
      </x:c>
      <x:c r="E12" s="38" t="n">
        <x:v>0.47</x:v>
      </x:c>
      <x:c r="F12" s="26" t="str">
        <x:v>Alta</x:v>
      </x:c>
      <x:c r="G12" s="26" t="str">
        <x:v>F1507</x:v>
      </x:c>
      <x:c r="H12" s="26" t="str">
        <x:v>Modernizar y ampliar prácticas/laboratorios pertinentes.</x:v>
      </x:c>
      <x:c r="I12" s="26" t="str">
        <x:v>Reporte_Ejecutivo_Ingenieria_Agroindustrial.docx</x:v>
      </x:c>
      <x:c r="J12" s="26" t="str">
        <x:v>5, 11</x:v>
      </x:c>
    </x:row>
    <x:row r="13">
      <x:c r="A13" s="26" t="str">
        <x:v>EPN12</x:v>
      </x:c>
      <x:c r="B13" s="26" t="str">
        <x:v>Práctica e industria</x:v>
      </x:c>
      <x:c r="C13" s="26" t="str">
        <x:v>Comentarios abiertos</x:v>
      </x:c>
      <x:c r="D13" s="26" t="str">
        <x:v>Vinculación con la industria — tema más mencionado</x:v>
      </x:c>
      <x:c r="E13" s="38" t="n">
        <x:v>0.27</x:v>
      </x:c>
      <x:c r="F13" s="26" t="str">
        <x:v>Alta</x:v>
      </x:c>
      <x:c r="G13" s="26" t="str">
        <x:v>F1501; F1502; F1505</x:v>
      </x:c>
      <x:c r="H13" s="26" t="str">
        <x:v>Ampliar pasantías, proyectos reales, visitas y alianzas universidad–empresa.</x:v>
      </x:c>
      <x:c r="I13" s="26" t="str">
        <x:v>Reporte_Ejecutivo_Ingenieria_Agroindustrial.docx</x:v>
      </x:c>
      <x:c r="J13" s="26" t="str">
        <x:v>5, 8, 10</x:v>
      </x:c>
    </x:row>
    <x:row r="14">
      <x:c r="A14" s="26" t="str">
        <x:v>EPN13</x:v>
      </x:c>
      <x:c r="B14" s="26" t="str">
        <x:v>Malla curricular</x:v>
      </x:c>
      <x:c r="C14" s="26" t="str">
        <x:v>Encuesta graduados</x:v>
      </x:c>
      <x:c r="D14" s="26" t="str">
        <x:v>Materias redundantes o innecesarias</x:v>
      </x:c>
      <x:c r="E14" s="38" t="n">
        <x:v>0.48</x:v>
      </x:c>
      <x:c r="F14" s="26" t="str">
        <x:v>Alta</x:v>
      </x:c>
      <x:c r="G14" s="26" t="str">
        <x:v>TRANSVERSAL</x:v>
      </x:c>
      <x:c r="H14" s="26" t="str">
        <x:v>Revisar redundancias e integración de contenidos antes de añadir carga.</x:v>
      </x:c>
      <x:c r="I14" s="26" t="str">
        <x:v>Reporte_Ejecutivo_Ingenieria_Agroindustrial.docx</x:v>
      </x:c>
      <x:c r="J14" s="26" t="str">
        <x:v>5, 10</x:v>
      </x:c>
    </x:row>
    <x:row r="15">
      <x:c r="A15" s="26" t="str">
        <x:v>EPN14</x:v>
      </x:c>
      <x:c r="B15" s="26" t="str">
        <x:v>Marketing y gestión</x:v>
      </x:c>
      <x:c r="C15" s="26" t="str">
        <x:v>Focus group empleadores</x:v>
      </x:c>
      <x:c r="D15" s="26" t="str">
        <x:v>Brecha cualitativa señalada</x:v>
      </x:c>
      <x:c r="E15" s="26" t="str">
        <x:v>NR</x:v>
      </x:c>
      <x:c r="F15" s="26" t="str">
        <x:v>Alta</x:v>
      </x:c>
      <x:c r="G15" s="26" t="str">
        <x:v>F1202; F1204; F1208</x:v>
      </x:c>
      <x:c r="H15" s="26" t="str">
        <x:v>Fortalecer marketing, ventas, gestión administrativa y emprendimiento.</x:v>
      </x:c>
      <x:c r="I15" s="26" t="str">
        <x:v>Reporte_Ejecutivo_Ingenieria_Agroindustrial.docx</x:v>
      </x:c>
      <x:c r="J15" s="26" t="str">
        <x:v>8, 9</x:v>
      </x:c>
    </x:row>
    <x:row r="16">
      <x:c r="A16" s="26" t="str">
        <x:v>EPN15</x:v>
      </x:c>
      <x:c r="B16" s="26" t="str">
        <x:v>Innovación y sostenibilidad</x:v>
      </x:c>
      <x:c r="C16" s="26" t="str">
        <x:v>Focus group empleadores</x:v>
      </x:c>
      <x:c r="D16" s="26" t="str">
        <x:v>NPS del Área III Innovación y sostenibilidad</x:v>
      </x:c>
      <x:c r="E16" s="38" t="n">
        <x:v>-0.5</x:v>
      </x:c>
      <x:c r="F16" s="26" t="str">
        <x:v>Crítica</x:v>
      </x:c>
      <x:c r="G16" s="26" t="str">
        <x:v>F0108; F0906; F1102; F1105; F1106</x:v>
      </x:c>
      <x:c r="H16" s="26" t="str">
        <x:v>Señal de brecha fuerte: digitalización/IA y sostenibilidad.</x:v>
      </x:c>
      <x:c r="I16" s="26" t="str">
        <x:v>Reporte_Ejecutivo_Ingenieria_Agroindustrial.docx</x:v>
      </x:c>
      <x:c r="J16" s="26" t="str">
        <x:v>8</x:v>
      </x:c>
    </x:row>
    <x:row r="17">
      <x:c r="A17" s="26" t="str">
        <x:v>EPN16</x:v>
      </x:c>
      <x:c r="B17" s="26" t="str">
        <x:v>Relación universidad–empresa</x:v>
      </x:c>
      <x:c r="C17" s="26" t="str">
        <x:v>Focus group empleadores</x:v>
      </x:c>
      <x:c r="D17" s="26" t="str">
        <x:v>NPS del Área V</x:v>
      </x:c>
      <x:c r="E17" s="38" t="n">
        <x:v>-0.31</x:v>
      </x:c>
      <x:c r="F17" s="26" t="str">
        <x:v>Crítica</x:v>
      </x:c>
      <x:c r="G17" s="26" t="str">
        <x:v>F1501; F1502; F1505</x:v>
      </x:c>
      <x:c r="H17" s="26" t="str">
        <x:v>Señal de brecha fuerte en vinculación y experiencia industrial.</x:v>
      </x:c>
      <x:c r="I17" s="26" t="str">
        <x:v>Reporte_Ejecutivo_Ingenieria_Agroindustrial.docx</x:v>
      </x:c>
      <x:c r="J17" s="26" t="str">
        <x:v>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20" hidden="0" customWidth="1"/>
    <x:col min="4" max="4" width="4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4" hidden="0" customWidth="1"/>
    <x:col min="12" max="12" width="18" hidden="0" customWidth="1"/>
    <x:col min="13" max="13" width="60" hidden="0" customWidth="1"/>
    <x:col min="14" max="14" width="60" hidden="0" customWidth="1"/>
  </x:cols>
  <x:sheetData>
    <x:row r="1">
      <x:c r="A1" s="14" t="str">
        <x:v>ID_Area</x:v>
      </x:c>
      <x:c r="B1" s="14" t="str">
        <x:v>Area</x:v>
      </x:c>
      <x:c r="C1" s="14" t="str">
        <x:v>ID_Familia</x:v>
      </x:c>
      <x:c r="D1" s="14" t="str">
        <x:v>Familia</x:v>
      </x:c>
      <x:c r="E1" s="14" t="str">
        <x:v>Presencia_Core_pct</x:v>
      </x:c>
      <x:c r="F1" s="14" t="str">
        <x:v>Presencia_Core_Obligatoria_pct</x:v>
      </x:c>
      <x:c r="G1" s="14" t="str">
        <x:v>Presencia_Master_pct</x:v>
      </x:c>
      <x:c r="H1" s="14" t="str">
        <x:v>Estatus_Prevalencia</x:v>
      </x:c>
      <x:c r="I1" s="14" t="str">
        <x:v>Senal_Emergente</x:v>
      </x:c>
      <x:c r="J1" s="14" t="str">
        <x:v>Prioridad_Senal_EPN</x:v>
      </x:c>
      <x:c r="K1" s="14" t="str">
        <x:v>Temas_EPN</x:v>
      </x:c>
      <x:c r="L1" s="14" t="str">
        <x:v>Prioridad_Revision_EPN</x:v>
      </x:c>
      <x:c r="M1" s="14" t="str">
        <x:v>Interpretacion_Preliminar</x:v>
      </x:c>
      <x:c r="N1" s="14" t="str">
        <x:v>Estado_Mapeo_EPN</x:v>
      </x:c>
    </x:row>
    <x:row r="2">
      <x:c r="A2" s="26" t="str">
        <x:v>A05</x:v>
      </x:c>
      <x:c r="B2" s="26" t="str">
        <x:v>Ingeniería de Procesos y Operaciones Unitarias</x:v>
      </x:c>
      <x:c r="C2" s="26" t="str">
        <x:v>F0502</x:v>
      </x:c>
      <x:c r="D2" s="26" t="str">
        <x:v>Operaciones unitarias generales</x:v>
      </x:c>
      <x:c r="E2" s="32" t="n">
        <x:v>0.8461538461538461</x:v>
      </x:c>
      <x:c r="F2" s="32" t="n">
        <x:v>0.8461538461538461</x:v>
      </x:c>
      <x:c r="G2" s="32" t="n">
        <x:v>0.14285714285714285</x:v>
      </x:c>
      <x:c r="H2" s="26" t="str">
        <x:v>Universal / núcleo</x:v>
      </x:c>
      <x:c r="I2" s="26" t="str"/>
      <x:c r="J2" s="26" t="str">
        <x:v>Alta</x:v>
      </x:c>
      <x:c r="K2" s="26" t="str">
        <x:v>Optimización de procesos</x:v>
      </x:c>
      <x:c r="L2" s="26" t="str">
        <x:v>Muy alta</x:v>
      </x:c>
      <x:c r="M2" s="26" t="str">
        <x:v>Núcleo internacional + demanda EPN: verificar presencia, obligatoriedad, profundidad y práctica; candidato a MANTENER/REFORZAR.</x:v>
      </x:c>
      <x:c r="N2" s="26" t="str">
        <x:v>PENDIENTE_MAPEO_MALLA_EPN</x:v>
      </x:c>
    </x:row>
    <x:row r="3">
      <x:c r="A3" s="26" t="str">
        <x:v>A08</x:v>
      </x:c>
      <x:c r="B3" s="26" t="str">
        <x:v>Calidad, Inocuidad, Análisis y Regulación</x:v>
      </x:c>
      <x:c r="C3" s="26" t="str">
        <x:v>F0803</x:v>
      </x:c>
      <x:c r="D3" s="26" t="str">
        <x:v>Gestión y aseguramiento de la calidad</x:v>
      </x:c>
      <x:c r="E3" s="32" t="n">
        <x:v>0.8461538461538461</x:v>
      </x:c>
      <x:c r="F3" s="32" t="n">
        <x:v>0.7692307692307693</x:v>
      </x:c>
      <x:c r="G3" s="32" t="n">
        <x:v>0.2857142857142857</x:v>
      </x:c>
      <x:c r="H3" s="26" t="str">
        <x:v>Universal / núcleo</x:v>
      </x:c>
      <x:c r="I3" s="26" t="str"/>
      <x:c r="J3" s="26" t="str">
        <x:v>Alta</x:v>
      </x:c>
      <x:c r="K3" s="26" t="str">
        <x:v>Calidad, inocuidad y BPM</x:v>
      </x:c>
      <x:c r="L3" s="26" t="str">
        <x:v>Muy alta</x:v>
      </x:c>
      <x:c r="M3" s="26" t="str">
        <x:v>Núcleo internacional + demanda EPN: verificar presencia, obligatoriedad, profundidad y práctica; candidato a MANTENER/REFORZAR.</x:v>
      </x:c>
      <x:c r="N3" s="26" t="str">
        <x:v>PENDIENTE_MAPEO_MALLA_EPN</x:v>
      </x:c>
    </x:row>
    <x:row r="4">
      <x:c r="A4" s="26" t="str">
        <x:v>A11</x:v>
      </x:c>
      <x:c r="B4" s="26" t="str">
        <x:v>Ambiente, Sostenibilidad, Residuos y Circularidad</x:v>
      </x:c>
      <x:c r="C4" s="26" t="str">
        <x:v>F1103</x:v>
      </x:c>
      <x:c r="D4" s="26" t="str">
        <x:v>Residuos, subproductos y valorización</x:v>
      </x:c>
      <x:c r="E4" s="32" t="n">
        <x:v>0.3076923076923077</x:v>
      </x:c>
      <x:c r="F4" s="32" t="n">
        <x:v>0.3076923076923077</x:v>
      </x:c>
      <x:c r="G4" s="32" t="n">
        <x:v>0.2857142857142857</x:v>
      </x:c>
      <x:c r="H4" s="26" t="str">
        <x:v>Selectiva</x:v>
      </x:c>
      <x:c r="I4" s="26" t="str">
        <x:v>Emergente en grado</x:v>
      </x:c>
      <x:c r="J4" s="26" t="str">
        <x:v>Alta</x:v>
      </x:c>
      <x:c r="K4" s="26" t="str">
        <x:v>Sostenibilidad, circularidad y energía</x:v>
      </x:c>
      <x:c r="L4" s="26" t="str">
        <x:v>Muy alta</x:v>
      </x:c>
      <x:c r="M4" s="26" t="str">
        <x:v>Tendencia internacional + demanda EPN: modernización prioritaria; si no está cubierta, candidato a AÑADIR/INTEGRAR; si existe, REFORZAR.</x:v>
      </x:c>
      <x:c r="N4" s="26" t="str">
        <x:v>PENDIENTE_MAPEO_MALLA_EPN</x:v>
      </x:c>
    </x:row>
    <x:row r="5">
      <x:c r="A5" s="26" t="str">
        <x:v>A09</x:v>
      </x:c>
      <x:c r="B5" s="26" t="str">
        <x:v>Plantas, Equipos, Automatización y Digitalización</x:v>
      </x:c>
      <x:c r="C5" s="26" t="str">
        <x:v>F0906</x:v>
      </x:c>
      <x:c r="D5" s="26" t="str">
        <x:v>Robótica, digitalización e Industria 4.0</x:v>
      </x:c>
      <x:c r="E5" s="32" t="n">
        <x:v>0.23076923076923078</x:v>
      </x:c>
      <x:c r="F5" s="32" t="n">
        <x:v>0.07692307692307693</x:v>
      </x:c>
      <x:c r="G5" s="32" t="n">
        <x:v>0.2857142857142857</x:v>
      </x:c>
      <x:c r="H5" s="26" t="str">
        <x:v>Baja prevalencia</x:v>
      </x:c>
      <x:c r="I5" s="26" t="str">
        <x:v>Emergente en grado</x:v>
      </x:c>
      <x:c r="J5" s="26" t="str">
        <x:v>Alta</x:v>
      </x:c>
      <x:c r="K5" s="26" t="str">
        <x:v>Datos, programación e IA</x:v>
      </x:c>
      <x:c r="L5" s="26" t="str">
        <x:v>Muy alta</x:v>
      </x:c>
      <x:c r="M5" s="26" t="str">
        <x:v>Tendencia internacional + demanda EPN: modernización prioritaria; si no está cubierta, candidato a AÑADIR/INTEGRAR; si existe, REFORZAR.</x:v>
      </x:c>
      <x:c r="N5" s="26" t="str">
        <x:v>PENDIENTE_MAPEO_MALLA_EPN</x:v>
      </x:c>
    </x:row>
    <x:row r="6">
      <x:c r="A6" s="26" t="str">
        <x:v>A11</x:v>
      </x:c>
      <x:c r="B6" s="26" t="str">
        <x:v>Ambiente, Sostenibilidad, Residuos y Circularidad</x:v>
      </x:c>
      <x:c r="C6" s="26" t="str">
        <x:v>F1102</x:v>
      </x:c>
      <x:c r="D6" s="26" t="str">
        <x:v>Análisis de ciclo de vida y ecodiseño</x:v>
      </x:c>
      <x:c r="E6" s="32" t="n">
        <x:v>0.15384615384615385</x:v>
      </x:c>
      <x:c r="F6" s="32" t="n">
        <x:v>0</x:v>
      </x:c>
      <x:c r="G6" s="32" t="n">
        <x:v>0.14285714285714285</x:v>
      </x:c>
      <x:c r="H6" s="26" t="str">
        <x:v>Baja prevalencia</x:v>
      </x:c>
      <x:c r="I6" s="26" t="str">
        <x:v>Emergente en grado</x:v>
      </x:c>
      <x:c r="J6" s="26" t="str">
        <x:v>Alta</x:v>
      </x:c>
      <x:c r="K6" s="26" t="str">
        <x:v>Sostenibilidad, circularidad y energía</x:v>
      </x:c>
      <x:c r="L6" s="26" t="str">
        <x:v>Muy alta</x:v>
      </x:c>
      <x:c r="M6" s="26" t="str">
        <x:v>Tendencia internacional + demanda EPN: modernización prioritaria; si no está cubierta, candidato a AÑADIR/INTEGRAR; si existe, REFORZAR.</x:v>
      </x:c>
      <x:c r="N6" s="26" t="str">
        <x:v>PENDIENTE_MAPEO_MALLA_EPN</x:v>
      </x:c>
    </x:row>
    <x:row r="7">
      <x:c r="A7" s="26" t="str">
        <x:v>A11</x:v>
      </x:c>
      <x:c r="B7" s="26" t="str">
        <x:v>Ambiente, Sostenibilidad, Residuos y Circularidad</x:v>
      </x:c>
      <x:c r="C7" s="26" t="str">
        <x:v>F1105</x:v>
      </x:c>
      <x:c r="D7" s="26" t="str">
        <x:v>Sostenibilidad y economía circular</x:v>
      </x:c>
      <x:c r="E7" s="32" t="n">
        <x:v>0.07692307692307693</x:v>
      </x:c>
      <x:c r="F7" s="32" t="n">
        <x:v>0.07692307692307693</x:v>
      </x:c>
      <x:c r="G7" s="32" t="n">
        <x:v>0.42857142857142855</x:v>
      </x:c>
      <x:c r="H7" s="26" t="str">
        <x:v>Baja prevalencia</x:v>
      </x:c>
      <x:c r="I7" s="26" t="str">
        <x:v>Emergente desde nivel avanzado</x:v>
      </x:c>
      <x:c r="J7" s="26" t="str">
        <x:v>Alta</x:v>
      </x:c>
      <x:c r="K7" s="26" t="str">
        <x:v>Sostenibilidad, circularidad y energía</x:v>
      </x:c>
      <x:c r="L7" s="26" t="str">
        <x:v>Muy alta</x:v>
      </x:c>
      <x:c r="M7" s="26" t="str">
        <x:v>Tendencia internacional + demanda EPN: modernización prioritaria; si no está cubierta, candidato a AÑADIR/INTEGRAR; si existe, REFORZAR.</x:v>
      </x:c>
      <x:c r="N7" s="26" t="str">
        <x:v>PENDIENTE_MAPEO_MALLA_EPN</x:v>
      </x:c>
    </x:row>
    <x:row r="8">
      <x:c r="A8" s="26" t="str">
        <x:v>A01</x:v>
      </x:c>
      <x:c r="B8" s="26" t="str">
        <x:v>Matemáticas, Estadística y Computación</x:v>
      </x:c>
      <x:c r="C8" s="26" t="str">
        <x:v>F0108</x:v>
      </x:c>
      <x:c r="D8" s="26" t="str">
        <x:v>Ciencia de datos, IA y analítica</x:v>
      </x:c>
      <x:c r="E8" s="32" t="n">
        <x:v>0</x:v>
      </x:c>
      <x:c r="F8" s="32" t="n">
        <x:v>0</x:v>
      </x:c>
      <x:c r="G8" s="32" t="n">
        <x:v>0.42857142857142855</x:v>
      </x:c>
      <x:c r="H8" s="26" t="str">
        <x:v>Baja prevalencia</x:v>
      </x:c>
      <x:c r="I8" s="26" t="str">
        <x:v>Emergente desde nivel avanzado</x:v>
      </x:c>
      <x:c r="J8" s="26" t="str">
        <x:v>Alta</x:v>
      </x:c>
      <x:c r="K8" s="26" t="str">
        <x:v>Datos, programación e IA</x:v>
      </x:c>
      <x:c r="L8" s="26" t="str">
        <x:v>Muy alta</x:v>
      </x:c>
      <x:c r="M8" s="26" t="str">
        <x:v>Tendencia internacional + demanda EPN: modernización prioritaria; si no está cubierta, candidato a AÑADIR/INTEGRAR; si existe, REFORZAR.</x:v>
      </x:c>
      <x:c r="N8" s="26" t="str">
        <x:v>PENDIENTE_MAPEO_MALLA_EPN</x:v>
      </x:c>
    </x:row>
    <x:row r="9">
      <x:c r="A9" s="26" t="str">
        <x:v>A01</x:v>
      </x:c>
      <x:c r="B9" s="26" t="str">
        <x:v>Matemáticas, Estadística y Computación</x:v>
      </x:c>
      <x:c r="C9" s="26" t="str">
        <x:v>F0101</x:v>
      </x:c>
      <x:c r="D9" s="26" t="str">
        <x:v>Cálculo y matemática general</x:v>
      </x:c>
      <x:c r="E9" s="32" t="n">
        <x:v>1</x:v>
      </x:c>
      <x:c r="F9" s="32" t="n">
        <x:v>1</x:v>
      </x:c>
      <x:c r="G9" s="32" t="n">
        <x:v>0.14285714285714285</x:v>
      </x:c>
      <x:c r="H9" s="26" t="str">
        <x:v>Universal / núcleo</x:v>
      </x:c>
      <x:c r="I9" s="26" t="str"/>
      <x:c r="J9" s="26" t="str"/>
      <x:c r="K9" s="26" t="str"/>
      <x:c r="L9" s="26" t="str">
        <x:v>Alta</x:v>
      </x:c>
      <x:c r="M9" s="26" t="str">
        <x:v>Núcleo internacional: debería estar cubierto; acción final depende de su presencia y profundidad en la malla EPN.</x:v>
      </x:c>
      <x:c r="N9" s="26" t="str">
        <x:v>PENDIENTE_MAPEO_MALLA_EPN</x:v>
      </x:c>
    </x:row>
    <x:row r="10">
      <x:c r="A10" s="26" t="str">
        <x:v>A02</x:v>
      </x:c>
      <x:c r="B10" s="26" t="str">
        <x:v>Física y Química Fundamental</x:v>
      </x:c>
      <x:c r="C10" s="26" t="str">
        <x:v>F0201</x:v>
      </x:c>
      <x:c r="D10" s="26" t="str">
        <x:v>Física general y aplicada</x:v>
      </x:c>
      <x:c r="E10" s="32" t="n">
        <x:v>1</x:v>
      </x:c>
      <x:c r="F10" s="32" t="n">
        <x:v>1</x:v>
      </x:c>
      <x:c r="G10" s="32" t="n">
        <x:v>0.2857142857142857</x:v>
      </x:c>
      <x:c r="H10" s="26" t="str">
        <x:v>Universal / núcleo</x:v>
      </x:c>
      <x:c r="I10" s="26" t="str"/>
      <x:c r="J10" s="26" t="str"/>
      <x:c r="K10" s="26" t="str"/>
      <x:c r="L10" s="26" t="str">
        <x:v>Alta</x:v>
      </x:c>
      <x:c r="M10" s="26" t="str">
        <x:v>Núcleo internacional: debería estar cubierto; acción final depende de su presencia y profundidad en la malla EPN.</x:v>
      </x:c>
      <x:c r="N10" s="26" t="str">
        <x:v>PENDIENTE_MAPEO_MALLA_EPN</x:v>
      </x:c>
    </x:row>
    <x:row r="11">
      <x:c r="A11" s="26" t="str">
        <x:v>A02</x:v>
      </x:c>
      <x:c r="B11" s="26" t="str">
        <x:v>Física y Química Fundamental</x:v>
      </x:c>
      <x:c r="C11" s="26" t="str">
        <x:v>F0202</x:v>
      </x:c>
      <x:c r="D11" s="26" t="str">
        <x:v>Química general e inorgánica</x:v>
      </x:c>
      <x:c r="E11" s="32" t="n">
        <x:v>1</x:v>
      </x:c>
      <x:c r="F11" s="32" t="n">
        <x:v>1</x:v>
      </x:c>
      <x:c r="G11" s="32" t="n">
        <x:v>0.14285714285714285</x:v>
      </x:c>
      <x:c r="H11" s="26" t="str">
        <x:v>Universal / núcleo</x:v>
      </x:c>
      <x:c r="I11" s="26" t="str"/>
      <x:c r="J11" s="26" t="str"/>
      <x:c r="K11" s="26" t="str"/>
      <x:c r="L11" s="26" t="str">
        <x:v>Alta</x:v>
      </x:c>
      <x:c r="M11" s="26" t="str">
        <x:v>Núcleo internacional: debería estar cubierto; acción final depende de su presencia y profundidad en la malla EPN.</x:v>
      </x:c>
      <x:c r="N11" s="26" t="str">
        <x:v>PENDIENTE_MAPEO_MALLA_EPN</x:v>
      </x:c>
    </x:row>
    <x:row r="12">
      <x:c r="A12" s="26" t="str">
        <x:v>A03</x:v>
      </x:c>
      <x:c r="B12" s="26" t="str">
        <x:v>Biología, Bioquímica, Microbiología y Biotecnología</x:v>
      </x:c>
      <x:c r="C12" s="26" t="str">
        <x:v>F0301</x:v>
      </x:c>
      <x:c r="D12" s="26" t="str">
        <x:v>Biología y fisiología</x:v>
      </x:c>
      <x:c r="E12" s="32" t="n">
        <x:v>0.7692307692307693</x:v>
      </x:c>
      <x:c r="F12" s="32" t="n">
        <x:v>0.7692307692307693</x:v>
      </x:c>
      <x:c r="G12" s="32" t="n">
        <x:v>0.42857142857142855</x:v>
      </x:c>
      <x:c r="H12" s="26" t="str">
        <x:v>Universal / núcleo</x:v>
      </x:c>
      <x:c r="I12" s="26" t="str"/>
      <x:c r="J12" s="26" t="str"/>
      <x:c r="K12" s="26" t="str"/>
      <x:c r="L12" s="26" t="str">
        <x:v>Alta</x:v>
      </x:c>
      <x:c r="M12" s="26" t="str">
        <x:v>Núcleo internacional: debería estar cubierto; acción final depende de su presencia y profundidad en la malla EPN.</x:v>
      </x:c>
      <x:c r="N12" s="26" t="str">
        <x:v>PENDIENTE_MAPEO_MALLA_EPN</x:v>
      </x:c>
    </x:row>
    <x:row r="13">
      <x:c r="A13" s="26" t="str">
        <x:v>A03</x:v>
      </x:c>
      <x:c r="B13" s="26" t="str">
        <x:v>Biología, Bioquímica, Microbiología y Biotecnología</x:v>
      </x:c>
      <x:c r="C13" s="26" t="str">
        <x:v>F0303</x:v>
      </x:c>
      <x:c r="D13" s="26" t="str">
        <x:v>Microbiología general</x:v>
      </x:c>
      <x:c r="E13" s="32" t="n">
        <x:v>0.7692307692307693</x:v>
      </x:c>
      <x:c r="F13" s="32" t="n">
        <x:v>0.7692307692307693</x:v>
      </x:c>
      <x:c r="G13" s="32" t="n">
        <x:v>0.2857142857142857</x:v>
      </x:c>
      <x:c r="H13" s="26" t="str">
        <x:v>Universal / núcleo</x:v>
      </x:c>
      <x:c r="I13" s="26" t="str"/>
      <x:c r="J13" s="26" t="str"/>
      <x:c r="K13" s="26" t="str"/>
      <x:c r="L13" s="26" t="str">
        <x:v>Alta</x:v>
      </x:c>
      <x:c r="M13" s="26" t="str">
        <x:v>Núcleo internacional: debería estar cubierto; acción final depende de su presencia y profundidad en la malla EPN.</x:v>
      </x:c>
      <x:c r="N13" s="26" t="str">
        <x:v>PENDIENTE_MAPEO_MALLA_EPN</x:v>
      </x:c>
    </x:row>
    <x:row r="14">
      <x:c r="A14" s="26" t="str">
        <x:v>A01</x:v>
      </x:c>
      <x:c r="B14" s="26" t="str">
        <x:v>Matemáticas, Estadística y Computación</x:v>
      </x:c>
      <x:c r="C14" s="26" t="str">
        <x:v>F0104</x:v>
      </x:c>
      <x:c r="D14" s="26" t="str">
        <x:v>Estadística y probabilidad</x:v>
      </x:c>
      <x:c r="E14" s="32" t="n">
        <x:v>0.6923076923076923</x:v>
      </x:c>
      <x:c r="F14" s="32" t="n">
        <x:v>0.6923076923076923</x:v>
      </x:c>
      <x:c r="G14" s="32" t="n">
        <x:v>0.14285714285714285</x:v>
      </x:c>
      <x:c r="H14" s="26" t="str">
        <x:v>Consolidada</x:v>
      </x:c>
      <x:c r="I14" s="26" t="str"/>
      <x:c r="J14" s="26" t="str"/>
      <x:c r="K14" s="26" t="str"/>
      <x:c r="L14" s="26" t="str">
        <x:v>Alta</x:v>
      </x:c>
      <x:c r="M14" s="26" t="str">
        <x:v>Familia consolidada internacionalmente: revisar cobertura EPN y posible integración/refuerzo.</x:v>
      </x:c>
      <x:c r="N14" s="26" t="str">
        <x:v>PENDIENTE_MAPEO_MALLA_EPN</x:v>
      </x:c>
    </x:row>
    <x:row r="15">
      <x:c r="A15" s="26" t="str">
        <x:v>A03</x:v>
      </x:c>
      <x:c r="B15" s="26" t="str">
        <x:v>Biología, Bioquímica, Microbiología y Biotecnología</x:v>
      </x:c>
      <x:c r="C15" s="26" t="str">
        <x:v>F0302</x:v>
      </x:c>
      <x:c r="D15" s="26" t="str">
        <x:v>Bioquímica y metabolismo</x:v>
      </x:c>
      <x:c r="E15" s="32" t="n">
        <x:v>0.6923076923076923</x:v>
      </x:c>
      <x:c r="F15" s="32" t="n">
        <x:v>0.6923076923076923</x:v>
      </x:c>
      <x:c r="G15" s="32" t="n">
        <x:v>0.42857142857142855</x:v>
      </x:c>
      <x:c r="H15" s="26" t="str">
        <x:v>Consolidada</x:v>
      </x:c>
      <x:c r="I15" s="26" t="str"/>
      <x:c r="J15" s="26" t="str"/>
      <x:c r="K15" s="26" t="str"/>
      <x:c r="L15" s="26" t="str">
        <x:v>Alta</x:v>
      </x:c>
      <x:c r="M15" s="26" t="str">
        <x:v>Familia consolidada internacionalmente: revisar cobertura EPN y posible integración/refuerzo.</x:v>
      </x:c>
      <x:c r="N15" s="26" t="str">
        <x:v>PENDIENTE_MAPEO_MALLA_EPN</x:v>
      </x:c>
    </x:row>
    <x:row r="16">
      <x:c r="A16" s="26" t="str">
        <x:v>A10</x:v>
      </x:c>
      <x:c r="B16" s="26" t="str">
        <x:v>Producción Agropecuaria, Materias Primas y Territorio</x:v>
      </x:c>
      <x:c r="C16" s="26" t="str">
        <x:v>F1001</x:v>
      </x:c>
      <x:c r="D16" s="26" t="str">
        <x:v>Producción vegetal y fitotecnia</x:v>
      </x:c>
      <x:c r="E16" s="32" t="n">
        <x:v>0.6923076923076923</x:v>
      </x:c>
      <x:c r="F16" s="32" t="n">
        <x:v>0.6923076923076923</x:v>
      </x:c>
      <x:c r="G16" s="32" t="n">
        <x:v>0.42857142857142855</x:v>
      </x:c>
      <x:c r="H16" s="26" t="str">
        <x:v>Consolidada</x:v>
      </x:c>
      <x:c r="I16" s="26" t="str"/>
      <x:c r="J16" s="26" t="str"/>
      <x:c r="K16" s="26" t="str"/>
      <x:c r="L16" s="26" t="str">
        <x:v>Alta</x:v>
      </x:c>
      <x:c r="M16" s="26" t="str">
        <x:v>Familia consolidada internacionalmente: revisar cobertura EPN y posible integración/refuerzo.</x:v>
      </x:c>
      <x:c r="N16" s="26" t="str">
        <x:v>PENDIENTE_MAPEO_MALLA_EPN</x:v>
      </x:c>
    </x:row>
    <x:row r="17">
      <x:c r="A17" s="26" t="str">
        <x:v>A15</x:v>
      </x:c>
      <x:c r="B17" s="26" t="str">
        <x:v>Integración Profesional, Proyectos, Prácticas y Titulación</x:v>
      </x:c>
      <x:c r="C17" s="26" t="str">
        <x:v>F1503</x:v>
      </x:c>
      <x:c r="D17" s="26" t="str">
        <x:v>Trabajo Fin de Grado / Bachelor thesis</x:v>
      </x:c>
      <x:c r="E17" s="32" t="n">
        <x:v>0.6923076923076923</x:v>
      </x:c>
      <x:c r="F17" s="32" t="n">
        <x:v>0.6923076923076923</x:v>
      </x:c>
      <x:c r="G17" s="32" t="n">
        <x:v>0</x:v>
      </x:c>
      <x:c r="H17" s="26" t="str">
        <x:v>Consolidada</x:v>
      </x:c>
      <x:c r="I17" s="26" t="str"/>
      <x:c r="J17" s="26" t="str"/>
      <x:c r="K17" s="26" t="str"/>
      <x:c r="L17" s="26" t="str">
        <x:v>Alta</x:v>
      </x:c>
      <x:c r="M17" s="26" t="str">
        <x:v>Familia consolidada internacionalmente: revisar cobertura EPN y posible integración/refuerzo.</x:v>
      </x:c>
      <x:c r="N17" s="26" t="str">
        <x:v>PENDIENTE_MAPEO_MALLA_EPN</x:v>
      </x:c>
    </x:row>
    <x:row r="18">
      <x:c r="A18" s="26" t="str">
        <x:v>A06</x:v>
      </x:c>
      <x:c r="B18" s="26" t="str">
        <x:v>Ciencia y Tecnología General de Alimentos</x:v>
      </x:c>
      <x:c r="C18" s="26" t="str">
        <x:v>F0604</x:v>
      </x:c>
      <x:c r="D18" s="26" t="str">
        <x:v>Tecnología / procesamiento general de alimentos</x:v>
      </x:c>
      <x:c r="E18" s="32" t="n">
        <x:v>0.6153846153846154</x:v>
      </x:c>
      <x:c r="F18" s="32" t="n">
        <x:v>0.6153846153846154</x:v>
      </x:c>
      <x:c r="G18" s="32" t="n">
        <x:v>0.2857142857142857</x:v>
      </x:c>
      <x:c r="H18" s="26" t="str">
        <x:v>Consolidada</x:v>
      </x:c>
      <x:c r="I18" s="26" t="str"/>
      <x:c r="J18" s="26" t="str"/>
      <x:c r="K18" s="26" t="str"/>
      <x:c r="L18" s="26" t="str">
        <x:v>Alta</x:v>
      </x:c>
      <x:c r="M18" s="26" t="str">
        <x:v>Familia consolidada internacionalmente: revisar cobertura EPN y posible integración/refuerzo.</x:v>
      </x:c>
      <x:c r="N18" s="26" t="str">
        <x:v>PENDIENTE_MAPEO_MALLA_EPN</x:v>
      </x:c>
    </x:row>
    <x:row r="19">
      <x:c r="A19" s="26" t="str">
        <x:v>A10</x:v>
      </x:c>
      <x:c r="B19" s="26" t="str">
        <x:v>Producción Agropecuaria, Materias Primas y Territorio</x:v>
      </x:c>
      <x:c r="C19" s="26" t="str">
        <x:v>F1002</x:v>
      </x:c>
      <x:c r="D19" s="26" t="str">
        <x:v>Producción animal y zootecnia</x:v>
      </x:c>
      <x:c r="E19" s="32" t="n">
        <x:v>0.6153846153846154</x:v>
      </x:c>
      <x:c r="F19" s="32" t="n">
        <x:v>0.6153846153846154</x:v>
      </x:c>
      <x:c r="G19" s="32" t="n">
        <x:v>0.2857142857142857</x:v>
      </x:c>
      <x:c r="H19" s="26" t="str">
        <x:v>Consolidada</x:v>
      </x:c>
      <x:c r="I19" s="26" t="str"/>
      <x:c r="J19" s="26" t="str"/>
      <x:c r="K19" s="26" t="str"/>
      <x:c r="L19" s="26" t="str">
        <x:v>Alta</x:v>
      </x:c>
      <x:c r="M19" s="26" t="str">
        <x:v>Familia consolidada internacionalmente: revisar cobertura EPN y posible integración/refuerzo.</x:v>
      </x:c>
      <x:c r="N19" s="26" t="str">
        <x:v>PENDIENTE_MAPEO_MALLA_EPN</x:v>
      </x:c>
    </x:row>
    <x:row r="20">
      <x:c r="A20" s="26" t="str">
        <x:v>A12</x:v>
      </x:c>
      <x:c r="B20" s="26" t="str">
        <x:v>Economía, Gestión, Marketing y Cadena de Suministro</x:v>
      </x:c>
      <x:c r="C20" s="26" t="str">
        <x:v>F1201</x:v>
      </x:c>
      <x:c r="D20" s="26" t="str">
        <x:v>Economía y sistemas agroalimentarios</x:v>
      </x:c>
      <x:c r="E20" s="32" t="n">
        <x:v>0.6153846153846154</x:v>
      </x:c>
      <x:c r="F20" s="32" t="n">
        <x:v>0.6153846153846154</x:v>
      </x:c>
      <x:c r="G20" s="32" t="n">
        <x:v>0.42857142857142855</x:v>
      </x:c>
      <x:c r="H20" s="26" t="str">
        <x:v>Consolidada</x:v>
      </x:c>
      <x:c r="I20" s="26" t="str"/>
      <x:c r="J20" s="26" t="str"/>
      <x:c r="K20" s="26" t="str"/>
      <x:c r="L20" s="26" t="str">
        <x:v>Alta</x:v>
      </x:c>
      <x:c r="M20" s="26" t="str">
        <x:v>Familia consolidada internacionalmente: revisar cobertura EPN y posible integración/refuerzo.</x:v>
      </x:c>
      <x:c r="N20" s="26" t="str">
        <x:v>PENDIENTE_MAPEO_MALLA_EPN</x:v>
      </x:c>
    </x:row>
    <x:row r="21">
      <x:c r="A21" s="26" t="str">
        <x:v>A15</x:v>
      </x:c>
      <x:c r="B21" s="26" t="str">
        <x:v>Integración Profesional, Proyectos, Prácticas y Titulación</x:v>
      </x:c>
      <x:c r="C21" s="26" t="str">
        <x:v>F1505</x:v>
      </x:c>
      <x:c r="D21" s="26" t="str">
        <x:v>Práctica externa / internship / stage</x:v>
      </x:c>
      <x:c r="E21" s="32" t="n">
        <x:v>0.6153846153846154</x:v>
      </x:c>
      <x:c r="F21" s="32" t="n">
        <x:v>0.5384615384615384</x:v>
      </x:c>
      <x:c r="G21" s="32" t="n">
        <x:v>0.7142857142857143</x:v>
      </x:c>
      <x:c r="H21" s="26" t="str">
        <x:v>Consolidada</x:v>
      </x:c>
      <x:c r="I21" s="26" t="str"/>
      <x:c r="J21" s="26" t="str">
        <x:v>Alta</x:v>
      </x:c>
      <x:c r="K21" s="26" t="str">
        <x:v>Práctica e industria</x:v>
      </x:c>
      <x:c r="L21" s="26" t="str">
        <x:v>Alta</x:v>
      </x:c>
      <x:c r="M21" s="26" t="str">
        <x:v>Familia consolidada internacionalmente: revisar cobertura EPN y posible integración/refuerzo.</x:v>
      </x:c>
      <x:c r="N21" s="26" t="str">
        <x:v>PENDIENTE_MAPEO_MALLA_EPN</x:v>
      </x:c>
    </x:row>
    <x:row r="22">
      <x:c r="A22" s="26" t="str">
        <x:v>A01</x:v>
      </x:c>
      <x:c r="B22" s="26" t="str">
        <x:v>Matemáticas, Estadística y Computación</x:v>
      </x:c>
      <x:c r="C22" s="26" t="str">
        <x:v>F0107</x:v>
      </x:c>
      <x:c r="D22" s="26" t="str">
        <x:v>Informática, bases de datos y software</x:v>
      </x:c>
      <x:c r="E22" s="32" t="n">
        <x:v>0.5384615384615384</x:v>
      </x:c>
      <x:c r="F22" s="32" t="n">
        <x:v>0.46153846153846156</x:v>
      </x:c>
      <x:c r="G22" s="32" t="n">
        <x:v>0.42857142857142855</x:v>
      </x:c>
      <x:c r="H22" s="26" t="str">
        <x:v>Consolidada</x:v>
      </x:c>
      <x:c r="I22" s="26" t="str"/>
      <x:c r="J22" s="26" t="str"/>
      <x:c r="K22" s="26" t="str"/>
      <x:c r="L22" s="26" t="str">
        <x:v>Alta</x:v>
      </x:c>
      <x:c r="M22" s="26" t="str">
        <x:v>Familia consolidada internacionalmente: revisar cobertura EPN y posible integración/refuerzo.</x:v>
      </x:c>
      <x:c r="N22" s="26" t="str">
        <x:v>PENDIENTE_MAPEO_MALLA_EPN</x:v>
      </x:c>
    </x:row>
    <x:row r="23">
      <x:c r="A23" s="26" t="str">
        <x:v>A06</x:v>
      </x:c>
      <x:c r="B23" s="26" t="str">
        <x:v>Ciencia y Tecnología General de Alimentos</x:v>
      </x:c>
      <x:c r="C23" s="26" t="str">
        <x:v>F0601</x:v>
      </x:c>
      <x:c r="D23" s="26" t="str">
        <x:v>Química y bioquímica de alimentos</x:v>
      </x:c>
      <x:c r="E23" s="32" t="n">
        <x:v>0.5384615384615384</x:v>
      </x:c>
      <x:c r="F23" s="32" t="n">
        <x:v>0.5384615384615384</x:v>
      </x:c>
      <x:c r="G23" s="32" t="n">
        <x:v>0</x:v>
      </x:c>
      <x:c r="H23" s="26" t="str">
        <x:v>Consolidada</x:v>
      </x:c>
      <x:c r="I23" s="26" t="str"/>
      <x:c r="J23" s="26" t="str"/>
      <x:c r="K23" s="26" t="str"/>
      <x:c r="L23" s="26" t="str">
        <x:v>Alta</x:v>
      </x:c>
      <x:c r="M23" s="26" t="str">
        <x:v>Familia consolidada internacionalmente: revisar cobertura EPN y posible integración/refuerzo.</x:v>
      </x:c>
      <x:c r="N23" s="26" t="str">
        <x:v>PENDIENTE_MAPEO_MALLA_EPN</x:v>
      </x:c>
    </x:row>
    <x:row r="24">
      <x:c r="A24" s="26" t="str">
        <x:v>A08</x:v>
      </x:c>
      <x:c r="B24" s="26" t="str">
        <x:v>Calidad, Inocuidad, Análisis y Regulación</x:v>
      </x:c>
      <x:c r="C24" s="26" t="str">
        <x:v>F0801</x:v>
      </x:c>
      <x:c r="D24" s="26" t="str">
        <x:v>Análisis químico, físico e instrumental de alimentos</x:v>
      </x:c>
      <x:c r="E24" s="32" t="n">
        <x:v>0.5384615384615384</x:v>
      </x:c>
      <x:c r="F24" s="32" t="n">
        <x:v>0.5384615384615384</x:v>
      </x:c>
      <x:c r="G24" s="32" t="n">
        <x:v>0</x:v>
      </x:c>
      <x:c r="H24" s="26" t="str">
        <x:v>Consolidada</x:v>
      </x:c>
      <x:c r="I24" s="26" t="str"/>
      <x:c r="J24" s="26" t="str"/>
      <x:c r="K24" s="26" t="str"/>
      <x:c r="L24" s="26" t="str">
        <x:v>Alta</x:v>
      </x:c>
      <x:c r="M24" s="26" t="str">
        <x:v>Familia consolidada internacionalmente: revisar cobertura EPN y posible integración/refuerzo.</x:v>
      </x:c>
      <x:c r="N24" s="26" t="str">
        <x:v>PENDIENTE_MAPEO_MALLA_EPN</x:v>
      </x:c>
    </x:row>
    <x:row r="25">
      <x:c r="A25" s="26" t="str">
        <x:v>A12</x:v>
      </x:c>
      <x:c r="B25" s="26" t="str">
        <x:v>Economía, Gestión, Marketing y Cadena de Suministro</x:v>
      </x:c>
      <x:c r="C25" s="26" t="str">
        <x:v>F1202</x:v>
      </x:c>
      <x:c r="D25" s="26" t="str">
        <x:v>Administración y gestión empresarial</x:v>
      </x:c>
      <x:c r="E25" s="32" t="n">
        <x:v>0.5384615384615384</x:v>
      </x:c>
      <x:c r="F25" s="32" t="n">
        <x:v>0.5384615384615384</x:v>
      </x:c>
      <x:c r="G25" s="32" t="n">
        <x:v>0.42857142857142855</x:v>
      </x:c>
      <x:c r="H25" s="26" t="str">
        <x:v>Consolidada</x:v>
      </x:c>
      <x:c r="I25" s="26" t="str"/>
      <x:c r="J25" s="26" t="str">
        <x:v>Media</x:v>
      </x:c>
      <x:c r="K25" s="26" t="str">
        <x:v>Marketing, gestión y emprendimiento</x:v>
      </x:c>
      <x:c r="L25" s="26" t="str">
        <x:v>Alta</x:v>
      </x:c>
      <x:c r="M25" s="26" t="str">
        <x:v>Familia consolidada internacionalmente: revisar cobertura EPN y posible integración/refuerzo.</x:v>
      </x:c>
      <x:c r="N25" s="26" t="str">
        <x:v>PENDIENTE_MAPEO_MALLA_EPN</x:v>
      </x:c>
    </x:row>
    <x:row r="26">
      <x:c r="A26" s="26" t="str">
        <x:v>A08</x:v>
      </x:c>
      <x:c r="B26" s="26" t="str">
        <x:v>Calidad, Inocuidad, Análisis y Regulación</x:v>
      </x:c>
      <x:c r="C26" s="26" t="str">
        <x:v>F0804</x:v>
      </x:c>
      <x:c r="D26" s="26" t="str">
        <x:v>Inocuidad y seguridad alimentaria / HACCP</x:v>
      </x:c>
      <x:c r="E26" s="32" t="n">
        <x:v>0.38461538461538464</x:v>
      </x:c>
      <x:c r="F26" s="32" t="n">
        <x:v>0.38461538461538464</x:v>
      </x:c>
      <x:c r="G26" s="32" t="n">
        <x:v>0.14285714285714285</x:v>
      </x:c>
      <x:c r="H26" s="26" t="str">
        <x:v>Selectiva</x:v>
      </x:c>
      <x:c r="I26" s="26" t="str"/>
      <x:c r="J26" s="26" t="str">
        <x:v>Alta</x:v>
      </x:c>
      <x:c r="K26" s="26" t="str">
        <x:v>Calidad, inocuidad y BPM</x:v>
      </x:c>
      <x:c r="L26" s="26" t="str">
        <x:v>Alta</x:v>
      </x:c>
      <x:c r="M26" s="26" t="str">
        <x:v>Tendencia relevante: revisar contra la malla EPN antes de decidir.</x:v>
      </x:c>
      <x:c r="N26" s="26" t="str">
        <x:v>PENDIENTE_MAPEO_MALLA_EPN</x:v>
      </x:c>
    </x:row>
    <x:row r="27">
      <x:c r="A27" s="26" t="str">
        <x:v>A09</x:v>
      </x:c>
      <x:c r="B27" s="26" t="str">
        <x:v>Plantas, Equipos, Automatización y Digitalización</x:v>
      </x:c>
      <x:c r="C27" s="26" t="str">
        <x:v>F0908</x:v>
      </x:c>
      <x:c r="D27" s="26" t="str">
        <x:v>Sistemas energéticos y utilidades térmicas</x:v>
      </x:c>
      <x:c r="E27" s="32" t="n">
        <x:v>0.38461538461538464</x:v>
      </x:c>
      <x:c r="F27" s="32" t="n">
        <x:v>0.3076923076923077</x:v>
      </x:c>
      <x:c r="G27" s="32" t="n">
        <x:v>0</x:v>
      </x:c>
      <x:c r="H27" s="26" t="str">
        <x:v>Selectiva</x:v>
      </x:c>
      <x:c r="I27" s="26" t="str"/>
      <x:c r="J27" s="26" t="str">
        <x:v>Alta</x:v>
      </x:c>
      <x:c r="K27" s="26" t="str">
        <x:v>Sostenibilidad, circularidad y energía</x:v>
      </x:c>
      <x:c r="L27" s="26" t="str">
        <x:v>Alta</x:v>
      </x:c>
      <x:c r="M27" s="26" t="str">
        <x:v>Tendencia relevante: revisar contra la malla EPN antes de decidir.</x:v>
      </x:c>
      <x:c r="N27" s="26" t="str">
        <x:v>PENDIENTE_MAPEO_MALLA_EPN</x:v>
      </x:c>
    </x:row>
    <x:row r="28">
      <x:c r="A28" s="26" t="str">
        <x:v>A15</x:v>
      </x:c>
      <x:c r="B28" s="26" t="str">
        <x:v>Integración Profesional, Proyectos, Prácticas y Titulación</x:v>
      </x:c>
      <x:c r="C28" s="26" t="str">
        <x:v>F1501</x:v>
      </x:c>
      <x:c r="D28" s="26" t="str">
        <x:v>Proyecto de ingeniería / oficina técnica</x:v>
      </x:c>
      <x:c r="E28" s="32" t="n">
        <x:v>0.3076923076923077</x:v>
      </x:c>
      <x:c r="F28" s="32" t="n">
        <x:v>0.3076923076923077</x:v>
      </x:c>
      <x:c r="G28" s="32" t="n">
        <x:v>0.14285714285714285</x:v>
      </x:c>
      <x:c r="H28" s="26" t="str">
        <x:v>Selectiva</x:v>
      </x:c>
      <x:c r="I28" s="26" t="str"/>
      <x:c r="J28" s="26" t="str">
        <x:v>Alta</x:v>
      </x:c>
      <x:c r="K28" s="26" t="str">
        <x:v>Práctica e industria</x:v>
      </x:c>
      <x:c r="L28" s="26" t="str">
        <x:v>Alta</x:v>
      </x:c>
      <x:c r="M28" s="26" t="str">
        <x:v>Tendencia relevante: revisar contra la malla EPN antes de decidir.</x:v>
      </x:c>
      <x:c r="N28" s="26" t="str">
        <x:v>PENDIENTE_MAPEO_MALLA_EPN</x:v>
      </x:c>
    </x:row>
    <x:row r="29">
      <x:c r="A29" s="26" t="str">
        <x:v>A15</x:v>
      </x:c>
      <x:c r="B29" s="26" t="str">
        <x:v>Integración Profesional, Proyectos, Prácticas y Titulación</x:v>
      </x:c>
      <x:c r="C29" s="26" t="str">
        <x:v>F1507</x:v>
      </x:c>
      <x:c r="D29" s="26" t="str">
        <x:v>Taller / laboratorio integrador / proyecto práctico</x:v>
      </x:c>
      <x:c r="E29" s="32" t="n">
        <x:v>0.3076923076923077</x:v>
      </x:c>
      <x:c r="F29" s="32" t="n">
        <x:v>0.3076923076923077</x:v>
      </x:c>
      <x:c r="G29" s="32" t="n">
        <x:v>0.2857142857142857</x:v>
      </x:c>
      <x:c r="H29" s="26" t="str">
        <x:v>Selectiva</x:v>
      </x:c>
      <x:c r="I29" s="26" t="str"/>
      <x:c r="J29" s="26" t="str">
        <x:v>Alta</x:v>
      </x:c>
      <x:c r="K29" s="26" t="str">
        <x:v>Práctica e industria</x:v>
      </x:c>
      <x:c r="L29" s="26" t="str">
        <x:v>Alta</x:v>
      </x:c>
      <x:c r="M29" s="26" t="str">
        <x:v>Tendencia relevante: revisar contra la malla EPN antes de decidir.</x:v>
      </x:c>
      <x:c r="N29" s="26" t="str">
        <x:v>PENDIENTE_MAPEO_MALLA_EPN</x:v>
      </x:c>
    </x:row>
    <x:row r="30">
      <x:c r="A30" s="26" t="str">
        <x:v>A16</x:v>
      </x:c>
      <x:c r="B30" s="26" t="str">
        <x:v>Comunicación, Idiomas, Ética y Formación Transversal</x:v>
      </x:c>
      <x:c r="C30" s="26" t="str">
        <x:v>F1601</x:v>
      </x:c>
      <x:c r="D30" s="26" t="str">
        <x:v>Idioma extranjero</x:v>
      </x:c>
      <x:c r="E30" s="32" t="n">
        <x:v>0.3076923076923077</x:v>
      </x:c>
      <x:c r="F30" s="32" t="n">
        <x:v>0.23076923076923078</x:v>
      </x:c>
      <x:c r="G30" s="32" t="n">
        <x:v>0.2857142857142857</x:v>
      </x:c>
      <x:c r="H30" s="26" t="str">
        <x:v>Selectiva</x:v>
      </x:c>
      <x:c r="I30" s="26" t="str"/>
      <x:c r="J30" s="26" t="str">
        <x:v>Alta</x:v>
      </x:c>
      <x:c r="K30" s="26" t="str">
        <x:v>Comunicación, liderazgo e inglés</x:v>
      </x:c>
      <x:c r="L30" s="26" t="str">
        <x:v>Alta</x:v>
      </x:c>
      <x:c r="M30" s="26" t="str">
        <x:v>Tendencia relevante: revisar contra la malla EPN antes de decidir.</x:v>
      </x:c>
      <x:c r="N30" s="26" t="str">
        <x:v>PENDIENTE_MAPEO_MALLA_EPN</x:v>
      </x:c>
    </x:row>
    <x:row r="31">
      <x:c r="A31" s="26" t="str">
        <x:v>A08</x:v>
      </x:c>
      <x:c r="B31" s="26" t="str">
        <x:v>Calidad, Inocuidad, Análisis y Regulación</x:v>
      </x:c>
      <x:c r="C31" s="26" t="str">
        <x:v>F0805</x:v>
      </x:c>
      <x:c r="D31" s="26" t="str">
        <x:v>Higiene, saneamiento y diseño higiénico</x:v>
      </x:c>
      <x:c r="E31" s="32" t="n">
        <x:v>0.23076923076923078</x:v>
      </x:c>
      <x:c r="F31" s="32" t="n">
        <x:v>0.23076923076923078</x:v>
      </x:c>
      <x:c r="G31" s="32" t="n">
        <x:v>0</x:v>
      </x:c>
      <x:c r="H31" s="26" t="str">
        <x:v>Baja prevalencia</x:v>
      </x:c>
      <x:c r="I31" s="26" t="str">
        <x:v>Nicho / especialización</x:v>
      </x:c>
      <x:c r="J31" s="26" t="str">
        <x:v>Alta</x:v>
      </x:c>
      <x:c r="K31" s="26" t="str">
        <x:v>Calidad, inocuidad y BPM</x:v>
      </x:c>
      <x:c r="L31" s="26" t="str">
        <x:v>Alta</x:v>
      </x:c>
      <x:c r="M31" s="26" t="str">
        <x:v>Demanda EPN fuerte aunque la familia aún no sea universal en grado; evaluar incorporación focalizada o transversal.</x:v>
      </x:c>
      <x:c r="N31" s="26" t="str">
        <x:v>PENDIENTE_MAPEO_MALLA_EPN</x:v>
      </x:c>
    </x:row>
    <x:row r="32">
      <x:c r="A32" s="26" t="str">
        <x:v>A01</x:v>
      </x:c>
      <x:c r="B32" s="26" t="str">
        <x:v>Matemáticas, Estadística y Computación</x:v>
      </x:c>
      <x:c r="C32" s="26" t="str">
        <x:v>F0106</x:v>
      </x:c>
      <x:c r="D32" s="26" t="str">
        <x:v>Métodos numéricos y programación</x:v>
      </x:c>
      <x:c r="E32" s="32" t="n">
        <x:v>0.15384615384615385</x:v>
      </x:c>
      <x:c r="F32" s="32" t="n">
        <x:v>0.15384615384615385</x:v>
      </x:c>
      <x:c r="G32" s="32" t="n">
        <x:v>0</x:v>
      </x:c>
      <x:c r="H32" s="26" t="str">
        <x:v>Baja prevalencia</x:v>
      </x:c>
      <x:c r="I32" s="26" t="str">
        <x:v>Nicho / especialización</x:v>
      </x:c>
      <x:c r="J32" s="26" t="str">
        <x:v>Alta</x:v>
      </x:c>
      <x:c r="K32" s="26" t="str">
        <x:v>Datos, programación e IA</x:v>
      </x:c>
      <x:c r="L32" s="26" t="str">
        <x:v>Alta</x:v>
      </x:c>
      <x:c r="M32" s="26" t="str">
        <x:v>Demanda EPN fuerte aunque la familia aún no sea universal en grado; evaluar incorporación focalizada o transversal.</x:v>
      </x:c>
      <x:c r="N32" s="26" t="str">
        <x:v>PENDIENTE_MAPEO_MALLA_EPN</x:v>
      </x:c>
    </x:row>
    <x:row r="33">
      <x:c r="A33" s="26" t="str">
        <x:v>A16</x:v>
      </x:c>
      <x:c r="B33" s="26" t="str">
        <x:v>Comunicación, Idiomas, Ética y Formación Transversal</x:v>
      </x:c>
      <x:c r="C33" s="26" t="str">
        <x:v>F1603</x:v>
      </x:c>
      <x:c r="D33" s="26" t="str">
        <x:v>Ética, responsabilidad y desarrollo profesional</x:v>
      </x:c>
      <x:c r="E33" s="32" t="n">
        <x:v>0.15384615384615385</x:v>
      </x:c>
      <x:c r="F33" s="32" t="n">
        <x:v>0.07692307692307693</x:v>
      </x:c>
      <x:c r="G33" s="32" t="n">
        <x:v>0.7142857142857143</x:v>
      </x:c>
      <x:c r="H33" s="26" t="str">
        <x:v>Baja prevalencia</x:v>
      </x:c>
      <x:c r="I33" s="26" t="str">
        <x:v>Nicho / especialización</x:v>
      </x:c>
      <x:c r="J33" s="26" t="str">
        <x:v>Alta</x:v>
      </x:c>
      <x:c r="K33" s="26" t="str">
        <x:v>Comunicación, liderazgo e inglés</x:v>
      </x:c>
      <x:c r="L33" s="26" t="str">
        <x:v>Alta</x:v>
      </x:c>
      <x:c r="M33" s="26" t="str">
        <x:v>Demanda EPN fuerte aunque la familia aún no sea universal en grado; evaluar incorporación focalizada o transversal.</x:v>
      </x:c>
      <x:c r="N33" s="26" t="str">
        <x:v>PENDIENTE_MAPEO_MALLA_EPN</x:v>
      </x:c>
    </x:row>
    <x:row r="34">
      <x:c r="A34" s="26" t="str">
        <x:v>A11</x:v>
      </x:c>
      <x:c r="B34" s="26" t="str">
        <x:v>Ambiente, Sostenibilidad, Residuos y Circularidad</x:v>
      </x:c>
      <x:c r="C34" s="26" t="str">
        <x:v>F1106</x:v>
      </x:c>
      <x:c r="D34" s="26" t="str">
        <x:v>Bioenergía, biomasa y energía ambiental</x:v>
      </x:c>
      <x:c r="E34" s="32" t="n">
        <x:v>0.07692307692307693</x:v>
      </x:c>
      <x:c r="F34" s="32" t="n">
        <x:v>0</x:v>
      </x:c>
      <x:c r="G34" s="32" t="n">
        <x:v>0</x:v>
      </x:c>
      <x:c r="H34" s="26" t="str">
        <x:v>Baja prevalencia</x:v>
      </x:c>
      <x:c r="I34" s="26" t="str">
        <x:v>Nicho / especialización</x:v>
      </x:c>
      <x:c r="J34" s="26" t="str">
        <x:v>Alta</x:v>
      </x:c>
      <x:c r="K34" s="26" t="str">
        <x:v>Sostenibilidad, circularidad y energía</x:v>
      </x:c>
      <x:c r="L34" s="26" t="str">
        <x:v>Alta</x:v>
      </x:c>
      <x:c r="M34" s="26" t="str">
        <x:v>Demanda EPN fuerte aunque la familia aún no sea universal en grado; evaluar incorporación focalizada o transversal.</x:v>
      </x:c>
      <x:c r="N34" s="26" t="str">
        <x:v>PENDIENTE_MAPEO_MALLA_EPN</x:v>
      </x:c>
    </x:row>
    <x:row r="35">
      <x:c r="A35" s="26" t="str">
        <x:v>A16</x:v>
      </x:c>
      <x:c r="B35" s="26" t="str">
        <x:v>Comunicación, Idiomas, Ética y Formación Transversal</x:v>
      </x:c>
      <x:c r="C35" s="26" t="str">
        <x:v>F1602</x:v>
      </x:c>
      <x:c r="D35" s="26" t="str">
        <x:v>Comunicación académica y profesional</x:v>
      </x:c>
      <x:c r="E35" s="32" t="n">
        <x:v>0.07692307692307693</x:v>
      </x:c>
      <x:c r="F35" s="32" t="n">
        <x:v>0.07692307692307693</x:v>
      </x:c>
      <x:c r="G35" s="32" t="n">
        <x:v>0</x:v>
      </x:c>
      <x:c r="H35" s="26" t="str">
        <x:v>Baja prevalencia</x:v>
      </x:c>
      <x:c r="I35" s="26" t="str">
        <x:v>Nicho / especialización</x:v>
      </x:c>
      <x:c r="J35" s="26" t="str">
        <x:v>Alta</x:v>
      </x:c>
      <x:c r="K35" s="26" t="str">
        <x:v>Comunicación, liderazgo e inglés</x:v>
      </x:c>
      <x:c r="L35" s="26" t="str">
        <x:v>Alta</x:v>
      </x:c>
      <x:c r="M35" s="26" t="str">
        <x:v>Demanda EPN fuerte aunque la familia aún no sea universal en grado; evaluar incorporación focalizada o transversal.</x:v>
      </x:c>
      <x:c r="N35" s="26" t="str">
        <x:v>PENDIENTE_MAPEO_MALLA_EPN</x:v>
      </x:c>
    </x:row>
    <x:row r="36">
      <x:c r="A36" s="26" t="str">
        <x:v>A05</x:v>
      </x:c>
      <x:c r="B36" s="26" t="str">
        <x:v>Ingeniería de Procesos y Operaciones Unitarias</x:v>
      </x:c>
      <x:c r="C36" s="26" t="str">
        <x:v>F0510</x:v>
      </x:c>
      <x:c r="D36" s="26" t="str">
        <x:v>Modelización, simulación y optimización de procesos</x:v>
      </x:c>
      <x:c r="E36" s="32" t="n">
        <x:v>0</x:v>
      </x:c>
      <x:c r="F36" s="32" t="n">
        <x:v>0</x:v>
      </x:c>
      <x:c r="G36" s="32" t="n">
        <x:v>0</x:v>
      </x:c>
      <x:c r="H36" s="26" t="str">
        <x:v>Baja prevalencia</x:v>
      </x:c>
      <x:c r="I36" s="26" t="str"/>
      <x:c r="J36" s="26" t="str">
        <x:v>Alta</x:v>
      </x:c>
      <x:c r="K36" s="26" t="str">
        <x:v>Datos, programación e IA; Optimización de procesos</x:v>
      </x:c>
      <x:c r="L36" s="26" t="str">
        <x:v>Alta</x:v>
      </x:c>
      <x:c r="M36" s="26" t="str">
        <x:v>Demanda EPN fuerte aunque la familia aún no sea universal en grado; evaluar incorporación focalizada o transversal.</x:v>
      </x:c>
      <x:c r="N36" s="26" t="str">
        <x:v>PENDIENTE_MAPEO_MALLA_EPN</x:v>
      </x:c>
    </x:row>
    <x:row r="37">
      <x:c r="A37" s="26" t="str">
        <x:v>A08</x:v>
      </x:c>
      <x:c r="B37" s="26" t="str">
        <x:v>Calidad, Inocuidad, Análisis y Regulación</x:v>
      </x:c>
      <x:c r="C37" s="26" t="str">
        <x:v>F0807</x:v>
      </x:c>
      <x:c r="D37" s="26" t="str">
        <x:v>Trazabilidad, certificación y auditoría</x:v>
      </x:c>
      <x:c r="E37" s="32" t="n">
        <x:v>0</x:v>
      </x:c>
      <x:c r="F37" s="32" t="n">
        <x:v>0</x:v>
      </x:c>
      <x:c r="G37" s="32" t="n">
        <x:v>0</x:v>
      </x:c>
      <x:c r="H37" s="26" t="str">
        <x:v>Baja prevalencia</x:v>
      </x:c>
      <x:c r="I37" s="26" t="str"/>
      <x:c r="J37" s="26" t="str">
        <x:v>Alta</x:v>
      </x:c>
      <x:c r="K37" s="26" t="str">
        <x:v>Calidad, inocuidad y BPM</x:v>
      </x:c>
      <x:c r="L37" s="26" t="str">
        <x:v>Alta</x:v>
      </x:c>
      <x:c r="M37" s="26" t="str">
        <x:v>Demanda EPN fuerte aunque la familia aún no sea universal en grado; evaluar incorporación focalizada o transversal.</x:v>
      </x:c>
      <x:c r="N37" s="26" t="str">
        <x:v>PENDIENTE_MAPEO_MALLA_EPN</x:v>
      </x:c>
    </x:row>
    <x:row r="38">
      <x:c r="A38" s="26" t="str">
        <x:v>A12</x:v>
      </x:c>
      <x:c r="B38" s="26" t="str">
        <x:v>Economía, Gestión, Marketing y Cadena de Suministro</x:v>
      </x:c>
      <x:c r="C38" s="26" t="str">
        <x:v>F1206</x:v>
      </x:c>
      <x:c r="D38" s="26" t="str">
        <x:v>Gestión de producción y operaciones</x:v>
      </x:c>
      <x:c r="E38" s="32" t="n">
        <x:v>0</x:v>
      </x:c>
      <x:c r="F38" s="32" t="n">
        <x:v>0</x:v>
      </x:c>
      <x:c r="G38" s="32" t="n">
        <x:v>0.14285714285714285</x:v>
      </x:c>
      <x:c r="H38" s="26" t="str">
        <x:v>Baja prevalencia</x:v>
      </x:c>
      <x:c r="I38" s="26" t="str"/>
      <x:c r="J38" s="26" t="str">
        <x:v>Alta</x:v>
      </x:c>
      <x:c r="K38" s="26" t="str">
        <x:v>Optimización de procesos</x:v>
      </x:c>
      <x:c r="L38" s="26" t="str">
        <x:v>Alta</x:v>
      </x:c>
      <x:c r="M38" s="26" t="str">
        <x:v>Demanda EPN fuerte aunque la familia aún no sea universal en grado; evaluar incorporación focalizada o transversal.</x:v>
      </x:c>
      <x:c r="N38" s="26" t="str">
        <x:v>PENDIENTE_MAPEO_MALLA_EPN</x:v>
      </x:c>
    </x:row>
    <x:row r="39">
      <x:c r="A39" s="26" t="str">
        <x:v>A12</x:v>
      </x:c>
      <x:c r="B39" s="26" t="str">
        <x:v>Economía, Gestión, Marketing y Cadena de Suministro</x:v>
      </x:c>
      <x:c r="C39" s="26" t="str">
        <x:v>F1207</x:v>
      </x:c>
      <x:c r="D39" s="26" t="str">
        <x:v>Gestión de proyectos</x:v>
      </x:c>
      <x:c r="E39" s="32" t="n">
        <x:v>0</x:v>
      </x:c>
      <x:c r="F39" s="32" t="n">
        <x:v>0</x:v>
      </x:c>
      <x:c r="G39" s="32" t="n">
        <x:v>0.42857142857142855</x:v>
      </x:c>
      <x:c r="H39" s="26" t="str">
        <x:v>Baja prevalencia</x:v>
      </x:c>
      <x:c r="I39" s="26" t="str"/>
      <x:c r="J39" s="26" t="str">
        <x:v>Alta</x:v>
      </x:c>
      <x:c r="K39" s="26" t="str">
        <x:v>Comunicación, liderazgo e inglés</x:v>
      </x:c>
      <x:c r="L39" s="26" t="str">
        <x:v>Alta</x:v>
      </x:c>
      <x:c r="M39" s="26" t="str">
        <x:v>Demanda EPN fuerte aunque la familia aún no sea universal en grado; evaluar incorporación focalizada o transversal.</x:v>
      </x:c>
      <x:c r="N39" s="26" t="str">
        <x:v>PENDIENTE_MAPEO_MALLA_EPN</x:v>
      </x:c>
    </x:row>
    <x:row r="40">
      <x:c r="A40" s="26" t="str">
        <x:v>A15</x:v>
      </x:c>
      <x:c r="B40" s="26" t="str">
        <x:v>Integración Profesional, Proyectos, Prácticas y Titulación</x:v>
      </x:c>
      <x:c r="C40" s="26" t="str">
        <x:v>F1502</x:v>
      </x:c>
      <x:c r="D40" s="26" t="str">
        <x:v>Proyecto integrador / capstone</x:v>
      </x:c>
      <x:c r="E40" s="32" t="n">
        <x:v>0</x:v>
      </x:c>
      <x:c r="F40" s="32" t="n">
        <x:v>0</x:v>
      </x:c>
      <x:c r="G40" s="32" t="n">
        <x:v>0.2857142857142857</x:v>
      </x:c>
      <x:c r="H40" s="26" t="str">
        <x:v>Baja prevalencia</x:v>
      </x:c>
      <x:c r="I40" s="26" t="str"/>
      <x:c r="J40" s="26" t="str">
        <x:v>Alta</x:v>
      </x:c>
      <x:c r="K40" s="26" t="str">
        <x:v>Práctica e industria</x:v>
      </x:c>
      <x:c r="L40" s="26" t="str">
        <x:v>Alta</x:v>
      </x:c>
      <x:c r="M40" s="26" t="str">
        <x:v>Demanda EPN fuerte aunque la familia aún no sea universal en grado; evaluar incorporación focalizada o transversal.</x:v>
      </x:c>
      <x:c r="N40" s="26" t="str">
        <x:v>PENDIENTE_MAPEO_MALLA_EPN</x:v>
      </x:c>
    </x:row>
    <x:row r="41">
      <x:c r="A41" s="26" t="str">
        <x:v>A06</x:v>
      </x:c>
      <x:c r="B41" s="26" t="str">
        <x:v>Ciencia y Tecnología General de Alimentos</x:v>
      </x:c>
      <x:c r="C41" s="26" t="str">
        <x:v>F0605</x:v>
      </x:c>
      <x:c r="D41" s="26" t="str">
        <x:v>Conservación de alimentos y tecnologías emergentes</x:v>
      </x:c>
      <x:c r="E41" s="32" t="n">
        <x:v>0.38461538461538464</x:v>
      </x:c>
      <x:c r="F41" s="32" t="n">
        <x:v>0.38461538461538464</x:v>
      </x:c>
      <x:c r="G41" s="32" t="n">
        <x:v>0</x:v>
      </x:c>
      <x:c r="H41" s="26" t="str">
        <x:v>Selectiva</x:v>
      </x:c>
      <x:c r="I41" s="26" t="str">
        <x:v>Emergente en grado</x:v>
      </x:c>
      <x:c r="J41" s="26" t="str"/>
      <x:c r="K41" s="26" t="str"/>
      <x:c r="L41" s="26" t="str">
        <x:v>Media</x:v>
      </x:c>
      <x:c r="M41" s="26" t="str">
        <x:v>Tendencia relevante: revisar contra la malla EPN antes de decidir.</x:v>
      </x:c>
      <x:c r="N41" s="26" t="str">
        <x:v>PENDIENTE_MAPEO_MALLA_EPN</x:v>
      </x:c>
    </x:row>
    <x:row r="42">
      <x:c r="A42" s="26" t="str">
        <x:v>A14</x:v>
      </x:c>
      <x:c r="B42" s="26" t="str">
        <x:v>Innovación, I+D y Desarrollo de Producto</x:v>
      </x:c>
      <x:c r="C42" s="26" t="str">
        <x:v>F1401</x:v>
      </x:c>
      <x:c r="D42" s="26" t="str">
        <x:v>Desarrollo e innovación de productos alimentarios</x:v>
      </x:c>
      <x:c r="E42" s="32" t="n">
        <x:v>0.38461538461538464</x:v>
      </x:c>
      <x:c r="F42" s="32" t="n">
        <x:v>0.23076923076923078</x:v>
      </x:c>
      <x:c r="G42" s="32" t="n">
        <x:v>0.5714285714285714</x:v>
      </x:c>
      <x:c r="H42" s="26" t="str">
        <x:v>Selectiva</x:v>
      </x:c>
      <x:c r="I42" s="26" t="str">
        <x:v>Emergente en grado</x:v>
      </x:c>
      <x:c r="J42" s="26" t="str">
        <x:v>Media</x:v>
      </x:c>
      <x:c r="K42" s="26" t="str">
        <x:v>Innovación y nuevos productos</x:v>
      </x:c>
      <x:c r="L42" s="26" t="str">
        <x:v>Media</x:v>
      </x:c>
      <x:c r="M42" s="26" t="str">
        <x:v>Tendencia relevante: revisar contra la malla EPN antes de decidir.</x:v>
      </x:c>
      <x:c r="N42" s="26" t="str">
        <x:v>PENDIENTE_MAPEO_MALLA_EPN</x:v>
      </x:c>
    </x:row>
    <x:row r="43">
      <x:c r="A43" s="26" t="str">
        <x:v>A12</x:v>
      </x:c>
      <x:c r="B43" s="26" t="str">
        <x:v>Economía, Gestión, Marketing y Cadena de Suministro</x:v>
      </x:c>
      <x:c r="C43" s="26" t="str">
        <x:v>F1204</x:v>
      </x:c>
      <x:c r="D43" s="26" t="str">
        <x:v>Marketing y comercialización</x:v>
      </x:c>
      <x:c r="E43" s="32" t="n">
        <x:v>0.3076923076923077</x:v>
      </x:c>
      <x:c r="F43" s="32" t="n">
        <x:v>0.23076923076923078</x:v>
      </x:c>
      <x:c r="G43" s="32" t="n">
        <x:v>0.5714285714285714</x:v>
      </x:c>
      <x:c r="H43" s="26" t="str">
        <x:v>Selectiva</x:v>
      </x:c>
      <x:c r="I43" s="26" t="str"/>
      <x:c r="J43" s="26" t="str">
        <x:v>Media</x:v>
      </x:c>
      <x:c r="K43" s="26" t="str">
        <x:v>Marketing, gestión y emprendimiento</x:v>
      </x:c>
      <x:c r="L43" s="26" t="str">
        <x:v>Media</x:v>
      </x:c>
      <x:c r="M43" s="26" t="str">
        <x:v>Tendencia relevante: revisar contra la malla EPN antes de decidir.</x:v>
      </x:c>
      <x:c r="N43" s="26" t="str">
        <x:v>PENDIENTE_MAPEO_MALLA_EPN</x:v>
      </x:c>
    </x:row>
    <x:row r="44">
      <x:c r="A44" s="26" t="str">
        <x:v>A12</x:v>
      </x:c>
      <x:c r="B44" s="26" t="str">
        <x:v>Economía, Gestión, Marketing y Cadena de Suministro</x:v>
      </x:c>
      <x:c r="C44" s="26" t="str">
        <x:v>F1208</x:v>
      </x:c>
      <x:c r="D44" s="26" t="str">
        <x:v>Emprendimiento y modelos de negocio</x:v>
      </x:c>
      <x:c r="E44" s="32" t="n">
        <x:v>0.23076923076923078</x:v>
      </x:c>
      <x:c r="F44" s="32" t="n">
        <x:v>0.15384615384615385</x:v>
      </x:c>
      <x:c r="G44" s="32" t="n">
        <x:v>0.14285714285714285</x:v>
      </x:c>
      <x:c r="H44" s="26" t="str">
        <x:v>Baja prevalencia</x:v>
      </x:c>
      <x:c r="I44" s="26" t="str">
        <x:v>Emergente en grado</x:v>
      </x:c>
      <x:c r="J44" s="26" t="str">
        <x:v>Media</x:v>
      </x:c>
      <x:c r="K44" s="26" t="str">
        <x:v>Marketing, gestión y emprendimiento</x:v>
      </x:c>
      <x:c r="L44" s="26" t="str">
        <x:v>Media</x:v>
      </x:c>
      <x:c r="M44" s="26" t="str">
        <x:v>Tendencia relevante: revisar contra la malla EPN antes de decidir.</x:v>
      </x:c>
      <x:c r="N44" s="26" t="str">
        <x:v>PENDIENTE_MAPEO_MALLA_EPN</x:v>
      </x:c>
    </x:row>
    <x:row r="45">
      <x:c r="A45" s="26" t="str">
        <x:v>A14</x:v>
      </x:c>
      <x:c r="B45" s="26" t="str">
        <x:v>Innovación, I+D y Desarrollo de Producto</x:v>
      </x:c>
      <x:c r="C45" s="26" t="str">
        <x:v>F1402</x:v>
      </x:c>
      <x:c r="D45" s="26" t="str">
        <x:v>Formulación avanzada orientada a innovación</x:v>
      </x:c>
      <x:c r="E45" s="32" t="n">
        <x:v>0</x:v>
      </x:c>
      <x:c r="F45" s="32" t="n">
        <x:v>0</x:v>
      </x:c>
      <x:c r="G45" s="32" t="n">
        <x:v>0</x:v>
      </x:c>
      <x:c r="H45" s="26" t="str">
        <x:v>Baja prevalencia</x:v>
      </x:c>
      <x:c r="I45" s="26" t="str"/>
      <x:c r="J45" s="26" t="str">
        <x:v>Media</x:v>
      </x:c>
      <x:c r="K45" s="26" t="str">
        <x:v>Innovación y nuevos productos</x:v>
      </x:c>
      <x:c r="L45" s="26" t="str">
        <x:v>Media</x:v>
      </x:c>
      <x:c r="M45" s="26" t="str">
        <x:v>Tendencia relevante: revisar contra la malla EPN antes de decidir.</x:v>
      </x:c>
      <x:c r="N45" s="26" t="str">
        <x:v>PENDIENTE_MAPEO_MALLA_EPN</x:v>
      </x:c>
    </x:row>
    <x:row r="46">
      <x:c r="A46" s="26" t="str">
        <x:v>A14</x:v>
      </x:c>
      <x:c r="B46" s="26" t="str">
        <x:v>Innovación, I+D y Desarrollo de Producto</x:v>
      </x:c>
      <x:c r="C46" s="26" t="str">
        <x:v>F1403</x:v>
      </x:c>
      <x:c r="D46" s="26" t="str">
        <x:v>Investigación y desarrollo aplicado</x:v>
      </x:c>
      <x:c r="E46" s="32" t="n">
        <x:v>0</x:v>
      </x:c>
      <x:c r="F46" s="32" t="n">
        <x:v>0</x:v>
      </x:c>
      <x:c r="G46" s="32" t="n">
        <x:v>0.2857142857142857</x:v>
      </x:c>
      <x:c r="H46" s="26" t="str">
        <x:v>Baja prevalencia</x:v>
      </x:c>
      <x:c r="I46" s="26" t="str">
        <x:v>Emergente desde nivel avanzado</x:v>
      </x:c>
      <x:c r="J46" s="26" t="str">
        <x:v>Media</x:v>
      </x:c>
      <x:c r="K46" s="26" t="str">
        <x:v>Innovación y nuevos productos</x:v>
      </x:c>
      <x:c r="L46" s="26" t="str">
        <x:v>Media</x:v>
      </x:c>
      <x:c r="M46" s="26" t="str">
        <x:v>Tendencia relevante: revisar contra la malla EPN antes de decidir.</x:v>
      </x:c>
      <x:c r="N46" s="26" t="str">
        <x:v>PENDIENTE_MAPEO_MALLA_EPN</x:v>
      </x:c>
    </x:row>
    <x:row r="47">
      <x:c r="A47" s="26" t="str">
        <x:v>A14</x:v>
      </x:c>
      <x:c r="B47" s="26" t="str">
        <x:v>Innovación, I+D y Desarrollo de Producto</x:v>
      </x:c>
      <x:c r="C47" s="26" t="str">
        <x:v>F1404</x:v>
      </x:c>
      <x:c r="D47" s="26" t="str">
        <x:v>Diseño experimental aplicado a I+D</x:v>
      </x:c>
      <x:c r="E47" s="32" t="n">
        <x:v>0</x:v>
      </x:c>
      <x:c r="F47" s="32" t="n">
        <x:v>0</x:v>
      </x:c>
      <x:c r="G47" s="32" t="n">
        <x:v>0</x:v>
      </x:c>
      <x:c r="H47" s="26" t="str">
        <x:v>Baja prevalencia</x:v>
      </x:c>
      <x:c r="I47" s="26" t="str"/>
      <x:c r="J47" s="26" t="str">
        <x:v>Media</x:v>
      </x:c>
      <x:c r="K47" s="26" t="str">
        <x:v>Innovación y nuevos productos</x:v>
      </x:c>
      <x:c r="L47" s="26" t="str">
        <x:v>Media</x:v>
      </x:c>
      <x:c r="M47" s="26" t="str">
        <x:v>Tendencia relevante: revisar contra la malla EPN antes de decidir.</x:v>
      </x:c>
      <x:c r="N47" s="26" t="str">
        <x:v>PENDIENTE_MAPEO_MALLA_EPN</x:v>
      </x:c>
    </x:row>
  </x:sheetData>
  <x:conditionalFormatting sqref="L2:L47">
    <x:cfRule type="expression" dxfId="7" priority="1">
      <x:formula>L2="Muy alta"</x:formula>
    </x:cfRule>
    <x:cfRule type="expression" dxfId="8" priority="2">
      <x:formula>L2="Alta"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</x:cols>
  <x:sheetData>
    <x:row r="1">
      <x:c r="A1" s="14" t="str">
        <x:v>ID_Tipo</x:v>
      </x:c>
      <x:c r="B1" s="14" t="str">
        <x:v>Tipo_Experiencia</x:v>
      </x:c>
      <x:c r="C1" s="14" t="str">
        <x:v>UPM</x:v>
      </x:c>
      <x:c r="D1" s="14" t="str">
        <x:v>USAL</x:v>
      </x:c>
      <x:c r="E1" s="14" t="str">
        <x:v>UPC</x:v>
      </x:c>
      <x:c r="F1" s="14" t="str">
        <x:v>UCO</x:v>
      </x:c>
      <x:c r="G1" s="14" t="str">
        <x:v>UMH</x:v>
      </x:c>
      <x:c r="H1" s="14" t="str">
        <x:v>IPLEIRIA</x:v>
      </x:c>
      <x:c r="I1" s="14" t="str">
        <x:v>ISA</x:v>
      </x:c>
      <x:c r="J1" s="14" t="str">
        <x:v>ESAV</x:v>
      </x:c>
      <x:c r="K1" s="14" t="str">
        <x:v>UNIBO</x:v>
      </x:c>
      <x:c r="L1" s="14" t="str">
        <x:v>UNIFG</x:v>
      </x:c>
      <x:c r="M1" s="14" t="str">
        <x:v>UNICUSANO</x:v>
      </x:c>
      <x:c r="N1" s="14" t="str">
        <x:v>HOHENHEIM</x:v>
      </x:c>
      <x:c r="O1" s="14" t="str">
        <x:v>TUM</x:v>
      </x:c>
      <x:c r="P1" s="14" t="str">
        <x:v>SEVILLA</x:v>
      </x:c>
      <x:c r="Q1" s="14" t="str">
        <x:v>ENSAIA</x:v>
      </x:c>
      <x:c r="R1" s="14" t="str">
        <x:v>IARA</x:v>
      </x:c>
      <x:c r="S1" s="14" t="str">
        <x:v>ONIRIS</x:v>
      </x:c>
      <x:c r="T1" s="14" t="str">
        <x:v>AGROPARISTECH</x:v>
      </x:c>
      <x:c r="U1" s="14" t="str">
        <x:v>IAD</x:v>
      </x:c>
      <x:c r="V1" s="14" t="str">
        <x:v>UNILASALLE</x:v>
      </x:c>
      <x:c r="W1" s="14" t="str">
        <x:v>PURPAN</x:v>
      </x:c>
      <x:c r="X1" s="14" t="str">
        <x:v>N_Core</x:v>
      </x:c>
      <x:c r="Y1" s="14" t="str">
        <x:v>Presencia_Core_pct</x:v>
      </x:c>
      <x:c r="Z1" s="14" t="str">
        <x:v>N_Todos</x:v>
      </x:c>
      <x:c r="AA1" s="14" t="str">
        <x:v>Presencia_Todos_pct</x:v>
      </x:c>
    </x:row>
    <x:row r="2">
      <x:c r="A2" t="str">
        <x:v>TE02</x:v>
      </x:c>
      <x:c r="B2" t="str">
        <x:v>Laboratorio integrado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1</x:v>
      </x:c>
      <x:c r="K2" t="n">
        <x:v>0</x:v>
      </x:c>
      <x:c r="L2" t="n">
        <x:v>0</x:v>
      </x:c>
      <x:c r="M2" t="n">
        <x:v>0</x:v>
      </x:c>
      <x:c r="N2" t="n">
        <x:v>1</x:v>
      </x:c>
      <x:c r="O2" t="n">
        <x:v>0</x:v>
      </x:c>
      <x:c r="P2" t="n">
        <x:v>0</x:v>
      </x:c>
      <x:c r="Q2" t="n">
        <x:v>1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2</x:v>
      </x:c>
      <x:c r="Y2" s="28" t="n">
        <x:v>0.15384615384615385</x:v>
      </x:c>
      <x:c r="Z2" t="n">
        <x:v>3</x:v>
      </x:c>
      <x:c r="AA2" s="28" t="n">
        <x:v>0.14285714285714285</x:v>
      </x:c>
    </x:row>
    <x:row r="3">
      <x:c r="A3" t="str">
        <x:v>TE03</x:v>
      </x:c>
      <x:c r="B3" t="str">
        <x:v>Laboratorio independiente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1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1</x:v>
      </x:c>
      <x:c r="O3" t="n">
        <x:v>1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1</x:v>
      </x:c>
      <x:c r="V3" t="n">
        <x:v>0</x:v>
      </x:c>
      <x:c r="W3" t="n">
        <x:v>0</x:v>
      </x:c>
      <x:c r="X3" t="n">
        <x:v>3</x:v>
      </x:c>
      <x:c r="Y3" s="28" t="n">
        <x:v>0.23076923076923078</x:v>
      </x:c>
      <x:c r="Z3" t="n">
        <x:v>4</x:v>
      </x:c>
      <x:c r="AA3" s="28" t="n">
        <x:v>0.19047619047619047</x:v>
      </x:c>
    </x:row>
    <x:row r="4">
      <x:c r="A4" t="str">
        <x:v>TE04</x:v>
      </x:c>
      <x:c r="B4" t="str">
        <x:v>Taller/workshop</x:v>
      </x:c>
      <x:c r="C4" t="n">
        <x:v>1</x:v>
      </x:c>
      <x:c r="D4" t="n">
        <x:v>0</x:v>
      </x:c>
      <x:c r="E4" t="n">
        <x:v>1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1</x:v>
      </x:c>
      <x:c r="K4" t="n">
        <x:v>0</x:v>
      </x:c>
      <x:c r="L4" t="n">
        <x:v>0</x:v>
      </x:c>
      <x:c r="M4" t="n">
        <x:v>0</x:v>
      </x:c>
      <x:c r="N4" t="n">
        <x:v>1</x:v>
      </x:c>
      <x:c r="O4" t="n">
        <x:v>0</x:v>
      </x:c>
      <x:c r="P4" t="n">
        <x:v>0</x:v>
      </x:c>
      <x:c r="Q4" t="n">
        <x:v>1</x:v>
      </x:c>
      <x:c r="R4" t="n">
        <x:v>1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4</x:v>
      </x:c>
      <x:c r="Y4" s="28" t="n">
        <x:v>0.3076923076923077</x:v>
      </x:c>
      <x:c r="Z4" t="n">
        <x:v>6</x:v>
      </x:c>
      <x:c r="AA4" s="28" t="n">
        <x:v>0.2857142857142857</x:v>
      </x:c>
    </x:row>
    <x:row r="5">
      <x:c r="A5" t="str">
        <x:v>TE05</x:v>
      </x:c>
      <x:c r="B5" t="str">
        <x:v>Proyecto técnico</x:v>
      </x:c>
      <x:c r="C5" t="n">
        <x:v>1</x:v>
      </x:c>
      <x:c r="D5" t="n">
        <x:v>1</x:v>
      </x:c>
      <x:c r="E5" t="n">
        <x:v>0</x:v>
      </x:c>
      <x:c r="F5" t="n">
        <x:v>1</x:v>
      </x:c>
      <x:c r="G5" t="n">
        <x:v>1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1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1</x:v>
      </x:c>
      <x:c r="V5" t="n">
        <x:v>0</x:v>
      </x:c>
      <x:c r="W5" t="n">
        <x:v>0</x:v>
      </x:c>
      <x:c r="X5" t="n">
        <x:v>4</x:v>
      </x:c>
      <x:c r="Y5" s="28" t="n">
        <x:v>0.3076923076923077</x:v>
      </x:c>
      <x:c r="Z5" t="n">
        <x:v>6</x:v>
      </x:c>
      <x:c r="AA5" s="28" t="n">
        <x:v>0.2857142857142857</x:v>
      </x:c>
    </x:row>
    <x:row r="6">
      <x:c r="A6" t="str">
        <x:v>TE06</x:v>
      </x:c>
      <x:c r="B6" t="str">
        <x:v>Proyecto integrador/capstone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1</x:v>
      </x:c>
      <x:c r="T6" t="n">
        <x:v>1</x:v>
      </x:c>
      <x:c r="U6" t="n">
        <x:v>0</x:v>
      </x:c>
      <x:c r="V6" t="n">
        <x:v>0</x:v>
      </x:c>
      <x:c r="W6" t="n">
        <x:v>0</x:v>
      </x:c>
      <x:c r="X6" t="n">
        <x:v>0</x:v>
      </x:c>
      <x:c r="Y6" s="28" t="n">
        <x:v>0</x:v>
      </x:c>
      <x:c r="Z6" t="n">
        <x:v>2</x:v>
      </x:c>
      <x:c r="AA6" s="28" t="n">
        <x:v>0.09523809523809523</x:v>
      </x:c>
    </x:row>
    <x:row r="7">
      <x:c r="A7" t="str">
        <x:v>TE07</x:v>
      </x:c>
      <x:c r="B7" t="str">
        <x:v>Práctica profesional/internship/stage</x:v>
      </x:c>
      <x:c r="C7" t="n">
        <x:v>0</x:v>
      </x:c>
      <x:c r="D7" t="n">
        <x:v>0</x:v>
      </x:c>
      <x:c r="E7" t="n">
        <x:v>1</x:v>
      </x:c>
      <x:c r="F7" t="n">
        <x:v>0</x:v>
      </x:c>
      <x:c r="G7" t="n">
        <x:v>0</x:v>
      </x:c>
      <x:c r="H7" t="n">
        <x:v>1</x:v>
      </x:c>
      <x:c r="I7" t="n">
        <x:v>1</x:v>
      </x:c>
      <x:c r="J7" t="n">
        <x:v>1</x:v>
      </x:c>
      <x:c r="K7" t="n">
        <x:v>1</x:v>
      </x:c>
      <x:c r="L7" t="n">
        <x:v>1</x:v>
      </x:c>
      <x:c r="M7" t="n">
        <x:v>1</x:v>
      </x:c>
      <x:c r="N7" t="n">
        <x:v>0</x:v>
      </x:c>
      <x:c r="O7" t="n">
        <x:v>1</x:v>
      </x:c>
      <x:c r="P7" t="n">
        <x:v>1</x:v>
      </x:c>
      <x:c r="Q7" t="n">
        <x:v>1</x:v>
      </x:c>
      <x:c r="R7" t="n">
        <x:v>1</x:v>
      </x:c>
      <x:c r="S7" t="n">
        <x:v>0</x:v>
      </x:c>
      <x:c r="T7" t="n">
        <x:v>1</x:v>
      </x:c>
      <x:c r="U7" t="n">
        <x:v>1</x:v>
      </x:c>
      <x:c r="V7" t="n">
        <x:v>1</x:v>
      </x:c>
      <x:c r="W7" t="n">
        <x:v>0</x:v>
      </x:c>
      <x:c r="X7" t="n">
        <x:v>8</x:v>
      </x:c>
      <x:c r="Y7" s="28" t="n">
        <x:v>0.6153846153846154</x:v>
      </x:c>
      <x:c r="Z7" t="n">
        <x:v>14</x:v>
      </x:c>
      <x:c r="AA7" s="28" t="n">
        <x:v>0.6666666666666666</x:v>
      </x:c>
    </x:row>
    <x:row r="8">
      <x:c r="A8" t="str">
        <x:v>TE08</x:v>
      </x:c>
      <x:c r="B8" t="str">
        <x:v>Stage final/misión de ingeniero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1</x:v>
      </x:c>
      <x:c r="S8" t="n">
        <x:v>1</x:v>
      </x:c>
      <x:c r="T8" t="n">
        <x:v>0</x:v>
      </x:c>
      <x:c r="U8" t="n">
        <x:v>1</x:v>
      </x:c>
      <x:c r="V8" t="n">
        <x:v>0</x:v>
      </x:c>
      <x:c r="W8" t="n">
        <x:v>1</x:v>
      </x:c>
      <x:c r="X8" t="n">
        <x:v>0</x:v>
      </x:c>
      <x:c r="Y8" s="28" t="n">
        <x:v>0</x:v>
      </x:c>
      <x:c r="Z8" t="n">
        <x:v>4</x:v>
      </x:c>
      <x:c r="AA8" s="28" t="n">
        <x:v>0.19047619047619047</x:v>
      </x:c>
    </x:row>
    <x:row r="9">
      <x:c r="A9" t="str">
        <x:v>TE09</x:v>
      </x:c>
      <x:c r="B9" t="str">
        <x:v>TFG/Bachelor thesis</x:v>
      </x:c>
      <x:c r="C9" t="n">
        <x:v>1</x:v>
      </x:c>
      <x:c r="D9" t="n">
        <x:v>1</x:v>
      </x:c>
      <x:c r="E9" t="n">
        <x:v>1</x:v>
      </x:c>
      <x:c r="F9" t="n">
        <x:v>1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1</x:v>
      </x:c>
      <x:c r="L9" t="n">
        <x:v>1</x:v>
      </x:c>
      <x:c r="M9" t="n">
        <x:v>1</x:v>
      </x:c>
      <x:c r="N9" t="n">
        <x:v>1</x:v>
      </x:c>
      <x:c r="O9" t="n">
        <x:v>1</x:v>
      </x:c>
      <x:c r="P9" t="n">
        <x:v>1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9</x:v>
      </x:c>
      <x:c r="Y9" s="28" t="n">
        <x:v>0.6923076923076923</x:v>
      </x:c>
      <x:c r="Z9" t="n">
        <x:v>10</x:v>
      </x:c>
      <x:c r="AA9" s="28" t="n">
        <x:v>0.47619047619047616</x:v>
      </x:c>
    </x:row>
    <x:row r="10">
      <x:c r="A10" t="str">
        <x:v>TE10</x:v>
      </x:c>
      <x:c r="B10" t="str">
        <x:v>Tesis/mémoire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s="28" t="n">
        <x:v>0</x:v>
      </x:c>
      <x:c r="Z10" t="n">
        <x:v>0</x:v>
      </x:c>
      <x:c r="AA10" s="28" t="n">
        <x:v>0</x:v>
      </x:c>
    </x:row>
    <x:row r="11">
      <x:c r="A11" t="str">
        <x:v>TE11</x:v>
      </x:c>
      <x:c r="B11" t="str">
        <x:v>Movilidad/internacionalización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s="28" t="n">
        <x:v>0</x:v>
      </x:c>
      <x:c r="Z11" t="n">
        <x:v>0</x:v>
      </x:c>
      <x:c r="AA11" s="28" t="n">
        <x:v>0</x:v>
      </x:c>
    </x:row>
    <x:row r="12">
      <x:c r="A12" t="str">
        <x:v>TE12</x:v>
      </x:c>
      <x:c r="B12" t="str">
        <x:v>Contenedor optativo/especialización</x:v>
      </x:c>
      <x:c r="C12" t="n">
        <x:v>0</x:v>
      </x:c>
      <x:c r="D12" t="n">
        <x:v>1</x:v>
      </x:c>
      <x:c r="E12" t="n">
        <x:v>0</x:v>
      </x:c>
      <x:c r="F12" t="n">
        <x:v>1</x:v>
      </x:c>
      <x:c r="G12" t="n">
        <x:v>1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1</x:v>
      </x:c>
      <x:c r="M12" t="n">
        <x:v>1</x:v>
      </x:c>
      <x:c r="N12" t="n">
        <x:v>0</x:v>
      </x:c>
      <x:c r="O12" t="n">
        <x:v>0</x:v>
      </x:c>
      <x:c r="P12" t="n">
        <x:v>0</x:v>
      </x:c>
      <x:c r="Q12" t="n">
        <x:v>1</x:v>
      </x:c>
      <x:c r="R12" t="n">
        <x:v>0</x:v>
      </x:c>
      <x:c r="S12" t="n">
        <x:v>1</x:v>
      </x:c>
      <x:c r="T12" t="n">
        <x:v>1</x:v>
      </x:c>
      <x:c r="U12" t="n">
        <x:v>0</x:v>
      </x:c>
      <x:c r="V12" t="n">
        <x:v>1</x:v>
      </x:c>
      <x:c r="W12" t="n">
        <x:v>0</x:v>
      </x:c>
      <x:c r="X12" t="n">
        <x:v>5</x:v>
      </x:c>
      <x:c r="Y12" s="28" t="n">
        <x:v>0.38461538461538464</x:v>
      </x:c>
      <x:c r="Z12" t="n">
        <x:v>9</x:v>
      </x:c>
      <x:c r="AA12" s="28" t="n">
        <x:v>0.42857142857142855</x:v>
      </x:c>
    </x:row>
    <x:row r="13">
      <x:c r="A13" t="str">
        <x:v>TE13</x:v>
      </x:c>
      <x:c r="B13" t="str">
        <x:v>Seminario/desarrollo profesional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1</x:v>
      </x:c>
      <x:c r="P13" t="n">
        <x:v>0</x:v>
      </x:c>
      <x:c r="Q13" t="n">
        <x:v>0</x:v>
      </x:c>
      <x:c r="R13" t="n">
        <x:v>0</x:v>
      </x:c>
      <x:c r="S13" t="n">
        <x:v>1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1</x:v>
      </x:c>
      <x:c r="Y13" s="28" t="n">
        <x:v>0.07692307692307693</x:v>
      </x:c>
      <x:c r="Z13" t="n">
        <x:v>2</x:v>
      </x:c>
      <x:c r="AA13" s="28" t="n">
        <x:v>0.09523809523809523</x:v>
      </x:c>
    </x:row>
    <x:row r="14">
      <x:c r="A14" t="str">
        <x:v>TE14</x:v>
      </x:c>
      <x:c r="B14" t="str">
        <x:v>Formación general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1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1</x:v>
      </x:c>
      <x:c r="Y14" s="28" t="n">
        <x:v>0.07692307692307693</x:v>
      </x:c>
      <x:c r="Z14" t="n">
        <x:v>1</x:v>
      </x:c>
      <x:c r="AA14" s="28" t="n">
        <x:v>0.047619047619047616</x:v>
      </x:c>
    </x:row>
    <x:row r="16">
      <x:c r="A16" s="14" t="str">
        <x:v>Nota metodológica</x:v>
      </x:c>
      <x:c r="B16" s="14" t="str"/>
      <x:c r="C16" s="14" t="str"/>
      <x:c r="D16" s="14" t="str"/>
    </x:row>
    <x:row r="17">
      <x:c r="A17" s="22" t="str">
        <x:v>Laboratorio / práctica académica</x:v>
      </x:c>
      <x:c r="B17" s="26" t="str">
        <x:v>Las métricas TE02/TE03 son un mínimo documental: solo cuentan cuando la fuente lo declaró explícitamente.</x:v>
      </x:c>
      <x:c r="C17" s="26" t="str"/>
      <x:c r="D17" s="26" t="str"/>
    </x:row>
    <x:row r="18">
      <x:c r="A18" s="22" t="str">
        <x:v>Ausencia de TE02/TE03</x:v>
      </x:c>
      <x:c r="B18" s="26" t="str">
        <x:v>No debe interpretarse automáticamente como ausencia real de laboratorio en el programa.</x:v>
      </x:c>
      <x:c r="C18" s="26" t="str"/>
      <x:c r="D18" s="26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4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62" hidden="0" customWidth="1"/>
    <x:col min="11" max="11" width="28" hidden="0" customWidth="1"/>
    <x:col min="12" max="12" width="64" hidden="0" customWidth="1"/>
  </x:cols>
  <x:sheetData>
    <x:row r="1">
      <x:c r="A1" s="14" t="str">
        <x:v>ID_Area</x:v>
      </x:c>
      <x:c r="B1" s="14" t="str">
        <x:v>ID_Familia</x:v>
      </x:c>
      <x:c r="C1" s="14" t="str">
        <x:v>Familia</x:v>
      </x:c>
      <x:c r="D1" s="14" t="str">
        <x:v>N_Asignaturas_con_Formativa</x:v>
      </x:c>
      <x:c r="E1" s="14" t="str">
        <x:v>N_Curriculos_con_Formativa</x:v>
      </x:c>
      <x:c r="F1" s="14" t="str">
        <x:v>N_con_Objetivo</x:v>
      </x:c>
      <x:c r="G1" s="14" t="str">
        <x:v>N_con_RA</x:v>
      </x:c>
      <x:c r="H1" s="14" t="str">
        <x:v>N_con_Competencias</x:v>
      </x:c>
      <x:c r="I1" s="14" t="str">
        <x:v>Nota_Metodologica</x:v>
      </x:c>
      <x:c r="K1" s="14" t="str">
        <x:v>Nota de Capa Formativa</x:v>
      </x:c>
      <x:c r="L1" s="14" t="str">
        <x:v>Interpretación</x:v>
      </x:c>
    </x:row>
    <x:row r="2">
      <x:c r="A2" s="26" t="str">
        <x:v>A00</x:v>
      </x:c>
      <x:c r="B2" s="26" t="str">
        <x:v>F0001</x:v>
      </x:c>
      <x:c r="C2" s="26" t="str">
        <x:v>Optatividad / grupo de elección</x:v>
      </x:c>
      <x:c r="D2" s="26" t="n">
        <x:v>0</x:v>
      </x:c>
      <x:c r="E2" s="26" t="n">
        <x:v>0</x:v>
      </x:c>
      <x:c r="F2" s="26" t="n">
        <x:v>0</x:v>
      </x:c>
      <x:c r="G2" s="26" t="n">
        <x:v>0</x:v>
      </x:c>
      <x:c r="H2" s="26" t="n">
        <x:v>0</x:v>
      </x:c>
      <x:c r="I2" s="26" t="str">
        <x:v>Solo evidencia declarada; la ausencia de datos no se interpreta como ausencia formativa real.</x:v>
      </x:c>
      <x:c r="K2" s="22" t="str">
        <x:v>Cobertura baja</x:v>
      </x:c>
      <x:c r="L2" s="26" t="str">
        <x:v>La ausencia de objetivo/RA/competencia en la Base no demuestra ausencia real; puede reflejar falta de guía pública accesible.</x:v>
      </x:c>
    </x:row>
    <x:row r="3">
      <x:c r="A3" s="26" t="str">
        <x:v>A00</x:v>
      </x:c>
      <x:c r="B3" s="26" t="str">
        <x:v>F0002</x:v>
      </x:c>
      <x:c r="C3" s="26" t="str">
        <x:v>Especialización / parcours no desagregado</x:v>
      </x:c>
      <x:c r="D3" s="26" t="n">
        <x:v>1</x:v>
      </x:c>
      <x:c r="E3" s="26" t="n">
        <x:v>1</x:v>
      </x:c>
      <x:c r="F3" s="26" t="n">
        <x:v>1</x:v>
      </x:c>
      <x:c r="G3" s="26" t="n">
        <x:v>0</x:v>
      </x:c>
      <x:c r="H3" s="26" t="n">
        <x:v>0</x:v>
      </x:c>
      <x:c r="I3" s="26" t="str">
        <x:v>Solo evidencia declarada; la ausencia de datos no se interpreta como ausencia formativa real.</x:v>
      </x:c>
      <x:c r="K3" s="22" t="str">
        <x:v>Declarado vs derivado</x:v>
      </x:c>
      <x:c r="L3" s="26" t="str">
        <x:v>Solo se contabiliza evidencia declarada por la institución.</x:v>
      </x:c>
    </x:row>
    <x:row r="4">
      <x:c r="A4" s="26" t="str">
        <x:v>A01</x:v>
      </x:c>
      <x:c r="B4" s="26" t="str">
        <x:v>F0101</x:v>
      </x:c>
      <x:c r="C4" s="26" t="str">
        <x:v>Cálculo y matemática general</x:v>
      </x:c>
      <x:c r="D4" s="26" t="n">
        <x:v>0</x:v>
      </x:c>
      <x:c r="E4" s="26" t="n">
        <x:v>0</x:v>
      </x:c>
      <x:c r="F4" s="26" t="n">
        <x:v>0</x:v>
      </x:c>
      <x:c r="G4" s="26" t="n">
        <x:v>0</x:v>
      </x:c>
      <x:c r="H4" s="26" t="n">
        <x:v>0</x:v>
      </x:c>
      <x:c r="I4" s="26" t="str">
        <x:v>Solo evidencia declarada; la ausencia de datos no se interpreta como ausencia formativa real.</x:v>
      </x:c>
      <x:c r="K4" s="22" t="str">
        <x:v>Uso recomendado</x:v>
      </x:c>
      <x:c r="L4" s="26" t="str">
        <x:v>Comparar alineación formativa únicamente entre subconjuntos con evidencia suficiente.</x:v>
      </x:c>
    </x:row>
    <x:row r="5">
      <x:c r="A5" s="26" t="str">
        <x:v>A01</x:v>
      </x:c>
      <x:c r="B5" s="26" t="str">
        <x:v>F0102</x:v>
      </x:c>
      <x:c r="C5" s="26" t="str">
        <x:v>Álgebra lineal y geometría</x:v>
      </x:c>
      <x:c r="D5" s="26" t="n">
        <x:v>0</x:v>
      </x:c>
      <x:c r="E5" s="26" t="n">
        <x:v>0</x:v>
      </x:c>
      <x:c r="F5" s="26" t="n">
        <x:v>0</x:v>
      </x:c>
      <x:c r="G5" s="26" t="n">
        <x:v>0</x:v>
      </x:c>
      <x:c r="H5" s="26" t="n">
        <x:v>0</x:v>
      </x:c>
      <x:c r="I5" s="26" t="str">
        <x:v>Solo evidencia declarada; la ausencia de datos no se interpreta como ausencia formativa real.</x:v>
      </x:c>
    </x:row>
    <x:row r="6">
      <x:c r="A6" s="26" t="str">
        <x:v>A01</x:v>
      </x:c>
      <x:c r="B6" s="26" t="str">
        <x:v>F0103</x:v>
      </x:c>
      <x:c r="C6" s="26" t="str">
        <x:v>Ecuaciones diferenciales y modelización matemática</x:v>
      </x:c>
      <x:c r="D6" s="26" t="n">
        <x:v>0</x:v>
      </x:c>
      <x:c r="E6" s="26" t="n">
        <x:v>0</x:v>
      </x:c>
      <x:c r="F6" s="26" t="n">
        <x:v>0</x:v>
      </x:c>
      <x:c r="G6" s="26" t="n">
        <x:v>0</x:v>
      </x:c>
      <x:c r="H6" s="26" t="n">
        <x:v>0</x:v>
      </x:c>
      <x:c r="I6" s="26" t="str">
        <x:v>Solo evidencia declarada; la ausencia de datos no se interpreta como ausencia formativa real.</x:v>
      </x:c>
    </x:row>
    <x:row r="7">
      <x:c r="A7" s="26" t="str">
        <x:v>A01</x:v>
      </x:c>
      <x:c r="B7" s="26" t="str">
        <x:v>F0104</x:v>
      </x:c>
      <x:c r="C7" s="26" t="str">
        <x:v>Estadística y probabilidad</x:v>
      </x:c>
      <x:c r="D7" s="26" t="n">
        <x:v>0</x:v>
      </x:c>
      <x:c r="E7" s="26" t="n">
        <x:v>0</x:v>
      </x:c>
      <x:c r="F7" s="26" t="n">
        <x:v>0</x:v>
      </x:c>
      <x:c r="G7" s="26" t="n">
        <x:v>0</x:v>
      </x:c>
      <x:c r="H7" s="26" t="n">
        <x:v>0</x:v>
      </x:c>
      <x:c r="I7" s="26" t="str">
        <x:v>Solo evidencia declarada; la ausencia de datos no se interpreta como ausencia formativa real.</x:v>
      </x:c>
    </x:row>
    <x:row r="8">
      <x:c r="A8" s="26" t="str">
        <x:v>A01</x:v>
      </x:c>
      <x:c r="B8" s="26" t="str">
        <x:v>F0105</x:v>
      </x:c>
      <x:c r="C8" s="26" t="str">
        <x:v>Diseño experimental y análisis multivariante</x:v>
      </x:c>
      <x:c r="D8" s="26" t="n">
        <x:v>0</x:v>
      </x:c>
      <x:c r="E8" s="26" t="n">
        <x:v>0</x:v>
      </x:c>
      <x:c r="F8" s="26" t="n">
        <x:v>0</x:v>
      </x:c>
      <x:c r="G8" s="26" t="n">
        <x:v>0</x:v>
      </x:c>
      <x:c r="H8" s="26" t="n">
        <x:v>0</x:v>
      </x:c>
      <x:c r="I8" s="26" t="str">
        <x:v>Solo evidencia declarada; la ausencia de datos no se interpreta como ausencia formativa real.</x:v>
      </x:c>
    </x:row>
    <x:row r="9">
      <x:c r="A9" s="26" t="str">
        <x:v>A01</x:v>
      </x:c>
      <x:c r="B9" s="26" t="str">
        <x:v>F0106</x:v>
      </x:c>
      <x:c r="C9" s="26" t="str">
        <x:v>Métodos numéricos y programación</x:v>
      </x:c>
      <x:c r="D9" s="26" t="n">
        <x:v>0</x:v>
      </x:c>
      <x:c r="E9" s="26" t="n">
        <x:v>0</x:v>
      </x:c>
      <x:c r="F9" s="26" t="n">
        <x:v>0</x:v>
      </x:c>
      <x:c r="G9" s="26" t="n">
        <x:v>0</x:v>
      </x:c>
      <x:c r="H9" s="26" t="n">
        <x:v>0</x:v>
      </x:c>
      <x:c r="I9" s="26" t="str">
        <x:v>Solo evidencia declarada; la ausencia de datos no se interpreta como ausencia formativa real.</x:v>
      </x:c>
    </x:row>
    <x:row r="10">
      <x:c r="A10" s="26" t="str">
        <x:v>A01</x:v>
      </x:c>
      <x:c r="B10" s="26" t="str">
        <x:v>F0107</x:v>
      </x:c>
      <x:c r="C10" s="26" t="str">
        <x:v>Informática, bases de datos y software</x:v>
      </x:c>
      <x:c r="D10" s="26" t="n">
        <x:v>0</x:v>
      </x:c>
      <x:c r="E10" s="26" t="n">
        <x:v>0</x:v>
      </x:c>
      <x:c r="F10" s="26" t="n">
        <x:v>0</x:v>
      </x:c>
      <x:c r="G10" s="26" t="n">
        <x:v>0</x:v>
      </x:c>
      <x:c r="H10" s="26" t="n">
        <x:v>0</x:v>
      </x:c>
      <x:c r="I10" s="26" t="str">
        <x:v>Solo evidencia declarada; la ausencia de datos no se interpreta como ausencia formativa real.</x:v>
      </x:c>
    </x:row>
    <x:row r="11">
      <x:c r="A11" s="26" t="str">
        <x:v>A01</x:v>
      </x:c>
      <x:c r="B11" s="26" t="str">
        <x:v>F0108</x:v>
      </x:c>
      <x:c r="C11" s="26" t="str">
        <x:v>Ciencia de datos, IA y analítica</x:v>
      </x:c>
      <x:c r="D11" s="26" t="n">
        <x:v>0</x:v>
      </x:c>
      <x:c r="E11" s="26" t="n">
        <x:v>0</x:v>
      </x:c>
      <x:c r="F11" s="26" t="n">
        <x:v>0</x:v>
      </x:c>
      <x:c r="G11" s="26" t="n">
        <x:v>0</x:v>
      </x:c>
      <x:c r="H11" s="26" t="n">
        <x:v>0</x:v>
      </x:c>
      <x:c r="I11" s="26" t="str">
        <x:v>Solo evidencia declarada; la ausencia de datos no se interpreta como ausencia formativa real.</x:v>
      </x:c>
    </x:row>
    <x:row r="12">
      <x:c r="A12" s="26" t="str">
        <x:v>A02</x:v>
      </x:c>
      <x:c r="B12" s="26" t="str">
        <x:v>F0201</x:v>
      </x:c>
      <x:c r="C12" s="26" t="str">
        <x:v>Física general y aplicada</x:v>
      </x:c>
      <x:c r="D12" s="26" t="n">
        <x:v>0</x:v>
      </x:c>
      <x:c r="E12" s="26" t="n">
        <x:v>0</x:v>
      </x:c>
      <x:c r="F12" s="26" t="n">
        <x:v>0</x:v>
      </x:c>
      <x:c r="G12" s="26" t="n">
        <x:v>0</x:v>
      </x:c>
      <x:c r="H12" s="26" t="n">
        <x:v>0</x:v>
      </x:c>
      <x:c r="I12" s="26" t="str">
        <x:v>Solo evidencia declarada; la ausencia de datos no se interpreta como ausencia formativa real.</x:v>
      </x:c>
    </x:row>
    <x:row r="13">
      <x:c r="A13" s="26" t="str">
        <x:v>A02</x:v>
      </x:c>
      <x:c r="B13" s="26" t="str">
        <x:v>F0202</x:v>
      </x:c>
      <x:c r="C13" s="26" t="str">
        <x:v>Química general e inorgánica</x:v>
      </x:c>
      <x:c r="D13" s="26" t="n">
        <x:v>0</x:v>
      </x:c>
      <x:c r="E13" s="26" t="n">
        <x:v>0</x:v>
      </x:c>
      <x:c r="F13" s="26" t="n">
        <x:v>0</x:v>
      </x:c>
      <x:c r="G13" s="26" t="n">
        <x:v>0</x:v>
      </x:c>
      <x:c r="H13" s="26" t="n">
        <x:v>0</x:v>
      </x:c>
      <x:c r="I13" s="26" t="str">
        <x:v>Solo evidencia declarada; la ausencia de datos no se interpreta como ausencia formativa real.</x:v>
      </x:c>
    </x:row>
    <x:row r="14">
      <x:c r="A14" s="26" t="str">
        <x:v>A02</x:v>
      </x:c>
      <x:c r="B14" s="26" t="str">
        <x:v>F0203</x:v>
      </x:c>
      <x:c r="C14" s="26" t="str">
        <x:v>Química orgánica</x:v>
      </x:c>
      <x:c r="D14" s="26" t="n">
        <x:v>0</x:v>
      </x:c>
      <x:c r="E14" s="26" t="n">
        <x:v>0</x:v>
      </x:c>
      <x:c r="F14" s="26" t="n">
        <x:v>0</x:v>
      </x:c>
      <x:c r="G14" s="26" t="n">
        <x:v>0</x:v>
      </x:c>
      <x:c r="H14" s="26" t="n">
        <x:v>0</x:v>
      </x:c>
      <x:c r="I14" s="26" t="str">
        <x:v>Solo evidencia declarada; la ausencia de datos no se interpreta como ausencia formativa real.</x:v>
      </x:c>
    </x:row>
    <x:row r="15">
      <x:c r="A15" s="26" t="str">
        <x:v>A02</x:v>
      </x:c>
      <x:c r="B15" s="26" t="str">
        <x:v>F0204</x:v>
      </x:c>
      <x:c r="C15" s="26" t="str">
        <x:v>Fisicoquímica</x:v>
      </x:c>
      <x:c r="D15" s="26" t="n">
        <x:v>0</x:v>
      </x:c>
      <x:c r="E15" s="26" t="n">
        <x:v>0</x:v>
      </x:c>
      <x:c r="F15" s="26" t="n">
        <x:v>0</x:v>
      </x:c>
      <x:c r="G15" s="26" t="n">
        <x:v>0</x:v>
      </x:c>
      <x:c r="H15" s="26" t="n">
        <x:v>0</x:v>
      </x:c>
      <x:c r="I15" s="26" t="str">
        <x:v>Solo evidencia declarada; la ausencia de datos no se interpreta como ausencia formativa real.</x:v>
      </x:c>
    </x:row>
    <x:row r="16">
      <x:c r="A16" s="26" t="str">
        <x:v>A02</x:v>
      </x:c>
      <x:c r="B16" s="26" t="str">
        <x:v>F0205</x:v>
      </x:c>
      <x:c r="C16" s="26" t="str">
        <x:v>Química analítica general</x:v>
      </x:c>
      <x:c r="D16" s="26" t="n">
        <x:v>0</x:v>
      </x:c>
      <x:c r="E16" s="26" t="n">
        <x:v>0</x:v>
      </x:c>
      <x:c r="F16" s="26" t="n">
        <x:v>0</x:v>
      </x:c>
      <x:c r="G16" s="26" t="n">
        <x:v>0</x:v>
      </x:c>
      <x:c r="H16" s="26" t="n">
        <x:v>0</x:v>
      </x:c>
      <x:c r="I16" s="26" t="str">
        <x:v>Solo evidencia declarada; la ausencia de datos no se interpreta como ausencia formativa real.</x:v>
      </x:c>
    </x:row>
    <x:row r="17">
      <x:c r="A17" s="26" t="str">
        <x:v>A03</x:v>
      </x:c>
      <x:c r="B17" s="26" t="str">
        <x:v>F0301</x:v>
      </x:c>
      <x:c r="C17" s="26" t="str">
        <x:v>Biología y fisiología</x:v>
      </x:c>
      <x:c r="D17" s="26" t="n">
        <x:v>0</x:v>
      </x:c>
      <x:c r="E17" s="26" t="n">
        <x:v>0</x:v>
      </x:c>
      <x:c r="F17" s="26" t="n">
        <x:v>0</x:v>
      </x:c>
      <x:c r="G17" s="26" t="n">
        <x:v>0</x:v>
      </x:c>
      <x:c r="H17" s="26" t="n">
        <x:v>0</x:v>
      </x:c>
      <x:c r="I17" s="26" t="str">
        <x:v>Solo evidencia declarada; la ausencia de datos no se interpreta como ausencia formativa real.</x:v>
      </x:c>
    </x:row>
    <x:row r="18">
      <x:c r="A18" s="26" t="str">
        <x:v>A03</x:v>
      </x:c>
      <x:c r="B18" s="26" t="str">
        <x:v>F0302</x:v>
      </x:c>
      <x:c r="C18" s="26" t="str">
        <x:v>Bioquímica y metabolismo</x:v>
      </x:c>
      <x:c r="D18" s="26" t="n">
        <x:v>2</x:v>
      </x:c>
      <x:c r="E18" s="26" t="n">
        <x:v>2</x:v>
      </x:c>
      <x:c r="F18" s="26" t="n">
        <x:v>1</x:v>
      </x:c>
      <x:c r="G18" s="26" t="n">
        <x:v>1</x:v>
      </x:c>
      <x:c r="H18" s="26" t="n">
        <x:v>0</x:v>
      </x:c>
      <x:c r="I18" s="26" t="str">
        <x:v>Solo evidencia declarada; la ausencia de datos no se interpreta como ausencia formativa real.</x:v>
      </x:c>
    </x:row>
    <x:row r="19">
      <x:c r="A19" s="26" t="str">
        <x:v>A03</x:v>
      </x:c>
      <x:c r="B19" s="26" t="str">
        <x:v>F0303</x:v>
      </x:c>
      <x:c r="C19" s="26" t="str">
        <x:v>Microbiología general</x:v>
      </x:c>
      <x:c r="D19" s="26" t="n">
        <x:v>1</x:v>
      </x:c>
      <x:c r="E19" s="26" t="n">
        <x:v>1</x:v>
      </x:c>
      <x:c r="F19" s="26" t="n">
        <x:v>0</x:v>
      </x:c>
      <x:c r="G19" s="26" t="n">
        <x:v>0</x:v>
      </x:c>
      <x:c r="H19" s="26" t="n">
        <x:v>1</x:v>
      </x:c>
      <x:c r="I19" s="26" t="str">
        <x:v>Solo evidencia declarada; la ausencia de datos no se interpreta como ausencia formativa real.</x:v>
      </x:c>
    </x:row>
    <x:row r="20">
      <x:c r="A20" s="26" t="str">
        <x:v>A03</x:v>
      </x:c>
      <x:c r="B20" s="26" t="str">
        <x:v>F0304</x:v>
      </x:c>
      <x:c r="C20" s="26" t="str">
        <x:v>Microbiología alimentaria e industrial</x:v>
      </x:c>
      <x:c r="D20" s="26" t="n">
        <x:v>0</x:v>
      </x:c>
      <x:c r="E20" s="26" t="n">
        <x:v>0</x:v>
      </x:c>
      <x:c r="F20" s="26" t="n">
        <x:v>0</x:v>
      </x:c>
      <x:c r="G20" s="26" t="n">
        <x:v>0</x:v>
      </x:c>
      <x:c r="H20" s="26" t="n">
        <x:v>0</x:v>
      </x:c>
      <x:c r="I20" s="26" t="str">
        <x:v>Solo evidencia declarada; la ausencia de datos no se interpreta como ausencia formativa real.</x:v>
      </x:c>
    </x:row>
    <x:row r="21">
      <x:c r="A21" s="26" t="str">
        <x:v>A03</x:v>
      </x:c>
      <x:c r="B21" s="26" t="str">
        <x:v>F0305</x:v>
      </x:c>
      <x:c r="C21" s="26" t="str">
        <x:v>Biotecnología y biología molecular</x:v>
      </x:c>
      <x:c r="D21" s="26" t="n">
        <x:v>2</x:v>
      </x:c>
      <x:c r="E21" s="26" t="n">
        <x:v>2</x:v>
      </x:c>
      <x:c r="F21" s="26" t="n">
        <x:v>0</x:v>
      </x:c>
      <x:c r="G21" s="26" t="n">
        <x:v>2</x:v>
      </x:c>
      <x:c r="H21" s="26" t="n">
        <x:v>1</x:v>
      </x:c>
      <x:c r="I21" s="26" t="str">
        <x:v>Solo evidencia declarada; la ausencia de datos no se interpreta como ausencia formativa real.</x:v>
      </x:c>
    </x:row>
    <x:row r="22">
      <x:c r="A22" s="26" t="str">
        <x:v>A03</x:v>
      </x:c>
      <x:c r="B22" s="26" t="str">
        <x:v>F0306</x:v>
      </x:c>
      <x:c r="C22" s="26" t="str">
        <x:v>Bioprocesos y bioproducción</x:v>
      </x:c>
      <x:c r="D22" s="26" t="n">
        <x:v>0</x:v>
      </x:c>
      <x:c r="E22" s="26" t="n">
        <x:v>0</x:v>
      </x:c>
      <x:c r="F22" s="26" t="n">
        <x:v>0</x:v>
      </x:c>
      <x:c r="G22" s="26" t="n">
        <x:v>0</x:v>
      </x:c>
      <x:c r="H22" s="26" t="n">
        <x:v>0</x:v>
      </x:c>
      <x:c r="I22" s="26" t="str">
        <x:v>Solo evidencia declarada; la ausencia de datos no se interpreta como ausencia formativa real.</x:v>
      </x:c>
    </x:row>
    <x:row r="23">
      <x:c r="A23" s="26" t="str">
        <x:v>A04</x:v>
      </x:c>
      <x:c r="B23" s="26" t="str">
        <x:v>F0401</x:v>
      </x:c>
      <x:c r="C23" s="26" t="str">
        <x:v>Termodinámica</x:v>
      </x:c>
      <x:c r="D23" s="26" t="n">
        <x:v>0</x:v>
      </x:c>
      <x:c r="E23" s="26" t="n">
        <x:v>0</x:v>
      </x:c>
      <x:c r="F23" s="26" t="n">
        <x:v>0</x:v>
      </x:c>
      <x:c r="G23" s="26" t="n">
        <x:v>0</x:v>
      </x:c>
      <x:c r="H23" s="26" t="n">
        <x:v>0</x:v>
      </x:c>
      <x:c r="I23" s="26" t="str">
        <x:v>Solo evidencia declarada; la ausencia de datos no se interpreta como ausencia formativa real.</x:v>
      </x:c>
    </x:row>
    <x:row r="24">
      <x:c r="A24" s="26" t="str">
        <x:v>A04</x:v>
      </x:c>
      <x:c r="B24" s="26" t="str">
        <x:v>F0402</x:v>
      </x:c>
      <x:c r="C24" s="26" t="str">
        <x:v>Mecánica de fluidos e hidráulica</x:v>
      </x:c>
      <x:c r="D24" s="26" t="n">
        <x:v>0</x:v>
      </x:c>
      <x:c r="E24" s="26" t="n">
        <x:v>0</x:v>
      </x:c>
      <x:c r="F24" s="26" t="n">
        <x:v>0</x:v>
      </x:c>
      <x:c r="G24" s="26" t="n">
        <x:v>0</x:v>
      </x:c>
      <x:c r="H24" s="26" t="n">
        <x:v>0</x:v>
      </x:c>
      <x:c r="I24" s="26" t="str">
        <x:v>Solo evidencia declarada; la ausencia de datos no se interpreta como ausencia formativa real.</x:v>
      </x:c>
    </x:row>
    <x:row r="25">
      <x:c r="A25" s="26" t="str">
        <x:v>A04</x:v>
      </x:c>
      <x:c r="B25" s="26" t="str">
        <x:v>F0403</x:v>
      </x:c>
      <x:c r="C25" s="26" t="str">
        <x:v>Transferencia de calor</x:v>
      </x:c>
      <x:c r="D25" s="26" t="n">
        <x:v>0</x:v>
      </x:c>
      <x:c r="E25" s="26" t="n">
        <x:v>0</x:v>
      </x:c>
      <x:c r="F25" s="26" t="n">
        <x:v>0</x:v>
      </x:c>
      <x:c r="G25" s="26" t="n">
        <x:v>0</x:v>
      </x:c>
      <x:c r="H25" s="26" t="n">
        <x:v>0</x:v>
      </x:c>
      <x:c r="I25" s="26" t="str">
        <x:v>Solo evidencia declarada; la ausencia de datos no se interpreta como ausencia formativa real.</x:v>
      </x:c>
    </x:row>
    <x:row r="26">
      <x:c r="A26" s="26" t="str">
        <x:v>A04</x:v>
      </x:c>
      <x:c r="B26" s="26" t="str">
        <x:v>F0404</x:v>
      </x:c>
      <x:c r="C26" s="26" t="str">
        <x:v>Transferencia de masa</x:v>
      </x:c>
      <x:c r="D26" s="26" t="n">
        <x:v>0</x:v>
      </x:c>
      <x:c r="E26" s="26" t="n">
        <x:v>0</x:v>
      </x:c>
      <x:c r="F26" s="26" t="n">
        <x:v>0</x:v>
      </x:c>
      <x:c r="G26" s="26" t="n">
        <x:v>0</x:v>
      </x:c>
      <x:c r="H26" s="26" t="n">
        <x:v>0</x:v>
      </x:c>
      <x:c r="I26" s="26" t="str">
        <x:v>Solo evidencia declarada; la ausencia de datos no se interpreta como ausencia formativa real.</x:v>
      </x:c>
    </x:row>
    <x:row r="27">
      <x:c r="A27" s="26" t="str">
        <x:v>A04</x:v>
      </x:c>
      <x:c r="B27" s="26" t="str">
        <x:v>F0405</x:v>
      </x:c>
      <x:c r="C27" s="26" t="str">
        <x:v>Mecánica, resistencia y materiales</x:v>
      </x:c>
      <x:c r="D27" s="26" t="n">
        <x:v>0</x:v>
      </x:c>
      <x:c r="E27" s="26" t="n">
        <x:v>0</x:v>
      </x:c>
      <x:c r="F27" s="26" t="n">
        <x:v>0</x:v>
      </x:c>
      <x:c r="G27" s="26" t="n">
        <x:v>0</x:v>
      </x:c>
      <x:c r="H27" s="26" t="n">
        <x:v>0</x:v>
      </x:c>
      <x:c r="I27" s="26" t="str">
        <x:v>Solo evidencia declarada; la ausencia de datos no se interpreta como ausencia formativa real.</x:v>
      </x:c>
    </x:row>
    <x:row r="28">
      <x:c r="A28" s="26" t="str">
        <x:v>A04</x:v>
      </x:c>
      <x:c r="B28" s="26" t="str">
        <x:v>F0406</x:v>
      </x:c>
      <x:c r="C28" s="26" t="str">
        <x:v>Estructuras y construcción básica</x:v>
      </x:c>
      <x:c r="D28" s="26" t="n">
        <x:v>0</x:v>
      </x:c>
      <x:c r="E28" s="26" t="n">
        <x:v>0</x:v>
      </x:c>
      <x:c r="F28" s="26" t="n">
        <x:v>0</x:v>
      </x:c>
      <x:c r="G28" s="26" t="n">
        <x:v>0</x:v>
      </x:c>
      <x:c r="H28" s="26" t="n">
        <x:v>0</x:v>
      </x:c>
      <x:c r="I28" s="26" t="str">
        <x:v>Solo evidencia declarada; la ausencia de datos no se interpreta como ausencia formativa real.</x:v>
      </x:c>
    </x:row>
    <x:row r="29">
      <x:c r="A29" s="26" t="str">
        <x:v>A04</x:v>
      </x:c>
      <x:c r="B29" s="26" t="str">
        <x:v>F0407</x:v>
      </x:c>
      <x:c r="C29" s="26" t="str">
        <x:v>Electrotecnia y electrónica</x:v>
      </x:c>
      <x:c r="D29" s="26" t="n">
        <x:v>0</x:v>
      </x:c>
      <x:c r="E29" s="26" t="n">
        <x:v>0</x:v>
      </x:c>
      <x:c r="F29" s="26" t="n">
        <x:v>0</x:v>
      </x:c>
      <x:c r="G29" s="26" t="n">
        <x:v>0</x:v>
      </x:c>
      <x:c r="H29" s="26" t="n">
        <x:v>0</x:v>
      </x:c>
      <x:c r="I29" s="26" t="str">
        <x:v>Solo evidencia declarada; la ausencia de datos no se interpreta como ausencia formativa real.</x:v>
      </x:c>
    </x:row>
    <x:row r="30">
      <x:c r="A30" s="26" t="str">
        <x:v>A05</x:v>
      </x:c>
      <x:c r="B30" s="26" t="str">
        <x:v>F0501</x:v>
      </x:c>
      <x:c r="C30" s="26" t="str">
        <x:v>Balances de materia y energía</x:v>
      </x:c>
      <x:c r="D30" s="26" t="n">
        <x:v>0</x:v>
      </x:c>
      <x:c r="E30" s="26" t="n">
        <x:v>0</x:v>
      </x:c>
      <x:c r="F30" s="26" t="n">
        <x:v>0</x:v>
      </x:c>
      <x:c r="G30" s="26" t="n">
        <x:v>0</x:v>
      </x:c>
      <x:c r="H30" s="26" t="n">
        <x:v>0</x:v>
      </x:c>
      <x:c r="I30" s="26" t="str">
        <x:v>Solo evidencia declarada; la ausencia de datos no se interpreta como ausencia formativa real.</x:v>
      </x:c>
    </x:row>
    <x:row r="31">
      <x:c r="A31" s="26" t="str">
        <x:v>A05</x:v>
      </x:c>
      <x:c r="B31" s="26" t="str">
        <x:v>F0502</x:v>
      </x:c>
      <x:c r="C31" s="26" t="str">
        <x:v>Operaciones unitarias generales</x:v>
      </x:c>
      <x:c r="D31" s="26" t="n">
        <x:v>3</x:v>
      </x:c>
      <x:c r="E31" s="26" t="n">
        <x:v>2</x:v>
      </x:c>
      <x:c r="F31" s="26" t="n">
        <x:v>0</x:v>
      </x:c>
      <x:c r="G31" s="26" t="n">
        <x:v>2</x:v>
      </x:c>
      <x:c r="H31" s="26" t="n">
        <x:v>2</x:v>
      </x:c>
      <x:c r="I31" s="26" t="str">
        <x:v>Solo evidencia declarada; la ausencia de datos no se interpreta como ausencia formativa real.</x:v>
      </x:c>
    </x:row>
    <x:row r="32">
      <x:c r="A32" s="26" t="str">
        <x:v>A05</x:v>
      </x:c>
      <x:c r="B32" s="26" t="str">
        <x:v>F0503</x:v>
      </x:c>
      <x:c r="C32" s="26" t="str">
        <x:v>Tratamientos térmicos y esterilización</x:v>
      </x:c>
      <x:c r="D32" s="26" t="n">
        <x:v>0</x:v>
      </x:c>
      <x:c r="E32" s="26" t="n">
        <x:v>0</x:v>
      </x:c>
      <x:c r="F32" s="26" t="n">
        <x:v>0</x:v>
      </x:c>
      <x:c r="G32" s="26" t="n">
        <x:v>0</x:v>
      </x:c>
      <x:c r="H32" s="26" t="n">
        <x:v>0</x:v>
      </x:c>
      <x:c r="I32" s="26" t="str">
        <x:v>Solo evidencia declarada; la ausencia de datos no se interpreta como ausencia formativa real.</x:v>
      </x:c>
    </x:row>
    <x:row r="33">
      <x:c r="A33" s="26" t="str">
        <x:v>A05</x:v>
      </x:c>
      <x:c r="B33" s="26" t="str">
        <x:v>F0504</x:v>
      </x:c>
      <x:c r="C33" s="26" t="str">
        <x:v>Refrigeración, congelación y cadena de frío</x:v>
      </x:c>
      <x:c r="D33" s="26" t="n">
        <x:v>0</x:v>
      </x:c>
      <x:c r="E33" s="26" t="n">
        <x:v>0</x:v>
      </x:c>
      <x:c r="F33" s="26" t="n">
        <x:v>0</x:v>
      </x:c>
      <x:c r="G33" s="26" t="n">
        <x:v>0</x:v>
      </x:c>
      <x:c r="H33" s="26" t="n">
        <x:v>0</x:v>
      </x:c>
      <x:c r="I33" s="26" t="str">
        <x:v>Solo evidencia declarada; la ausencia de datos no se interpreta como ausencia formativa real.</x:v>
      </x:c>
    </x:row>
    <x:row r="34">
      <x:c r="A34" s="26" t="str">
        <x:v>A05</x:v>
      </x:c>
      <x:c r="B34" s="26" t="str">
        <x:v>F0505</x:v>
      </x:c>
      <x:c r="C34" s="26" t="str">
        <x:v>Secado y deshidratación</x:v>
      </x:c>
      <x:c r="D34" s="26" t="n">
        <x:v>0</x:v>
      </x:c>
      <x:c r="E34" s="26" t="n">
        <x:v>0</x:v>
      </x:c>
      <x:c r="F34" s="26" t="n">
        <x:v>0</x:v>
      </x:c>
      <x:c r="G34" s="26" t="n">
        <x:v>0</x:v>
      </x:c>
      <x:c r="H34" s="26" t="n">
        <x:v>0</x:v>
      </x:c>
      <x:c r="I34" s="26" t="str">
        <x:v>Solo evidencia declarada; la ausencia de datos no se interpreta como ausencia formativa real.</x:v>
      </x:c>
    </x:row>
    <x:row r="35">
      <x:c r="A35" s="26" t="str">
        <x:v>A05</x:v>
      </x:c>
      <x:c r="B35" s="26" t="str">
        <x:v>F0506</x:v>
      </x:c>
      <x:c r="C35" s="26" t="str">
        <x:v>Evaporación y concentración</x:v>
      </x:c>
      <x:c r="D35" s="26" t="n">
        <x:v>0</x:v>
      </x:c>
      <x:c r="E35" s="26" t="n">
        <x:v>0</x:v>
      </x:c>
      <x:c r="F35" s="26" t="n">
        <x:v>0</x:v>
      </x:c>
      <x:c r="G35" s="26" t="n">
        <x:v>0</x:v>
      </x:c>
      <x:c r="H35" s="26" t="n">
        <x:v>0</x:v>
      </x:c>
      <x:c r="I35" s="26" t="str">
        <x:v>Solo evidencia declarada; la ausencia de datos no se interpreta como ausencia formativa real.</x:v>
      </x:c>
    </x:row>
    <x:row r="36">
      <x:c r="A36" s="26" t="str">
        <x:v>A05</x:v>
      </x:c>
      <x:c r="B36" s="26" t="str">
        <x:v>F0507</x:v>
      </x:c>
      <x:c r="C36" s="26" t="str">
        <x:v>Destilación, extracción y absorción</x:v>
      </x:c>
      <x:c r="D36" s="26" t="n">
        <x:v>0</x:v>
      </x:c>
      <x:c r="E36" s="26" t="n">
        <x:v>0</x:v>
      </x:c>
      <x:c r="F36" s="26" t="n">
        <x:v>0</x:v>
      </x:c>
      <x:c r="G36" s="26" t="n">
        <x:v>0</x:v>
      </x:c>
      <x:c r="H36" s="26" t="n">
        <x:v>0</x:v>
      </x:c>
      <x:c r="I36" s="26" t="str">
        <x:v>Solo evidencia declarada; la ausencia de datos no se interpreta como ausencia formativa real.</x:v>
      </x:c>
    </x:row>
    <x:row r="37">
      <x:c r="A37" s="26" t="str">
        <x:v>A05</x:v>
      </x:c>
      <x:c r="B37" s="26" t="str">
        <x:v>F0508</x:v>
      </x:c>
      <x:c r="C37" s="26" t="str">
        <x:v>Membranas y separaciones avanzadas</x:v>
      </x:c>
      <x:c r="D37" s="26" t="n">
        <x:v>0</x:v>
      </x:c>
      <x:c r="E37" s="26" t="n">
        <x:v>0</x:v>
      </x:c>
      <x:c r="F37" s="26" t="n">
        <x:v>0</x:v>
      </x:c>
      <x:c r="G37" s="26" t="n">
        <x:v>0</x:v>
      </x:c>
      <x:c r="H37" s="26" t="n">
        <x:v>0</x:v>
      </x:c>
      <x:c r="I37" s="26" t="str">
        <x:v>Solo evidencia declarada; la ausencia de datos no se interpreta como ausencia formativa real.</x:v>
      </x:c>
    </x:row>
    <x:row r="38">
      <x:c r="A38" s="26" t="str">
        <x:v>A05</x:v>
      </x:c>
      <x:c r="B38" s="26" t="str">
        <x:v>F0509</x:v>
      </x:c>
      <x:c r="C38" s="26" t="str">
        <x:v>Ingeniería de reactores y cinética</x:v>
      </x:c>
      <x:c r="D38" s="26" t="n">
        <x:v>0</x:v>
      </x:c>
      <x:c r="E38" s="26" t="n">
        <x:v>0</x:v>
      </x:c>
      <x:c r="F38" s="26" t="n">
        <x:v>0</x:v>
      </x:c>
      <x:c r="G38" s="26" t="n">
        <x:v>0</x:v>
      </x:c>
      <x:c r="H38" s="26" t="n">
        <x:v>0</x:v>
      </x:c>
      <x:c r="I38" s="26" t="str">
        <x:v>Solo evidencia declarada; la ausencia de datos no se interpreta como ausencia formativa real.</x:v>
      </x:c>
    </x:row>
    <x:row r="39">
      <x:c r="A39" s="26" t="str">
        <x:v>A05</x:v>
      </x:c>
      <x:c r="B39" s="26" t="str">
        <x:v>F0510</x:v>
      </x:c>
      <x:c r="C39" s="26" t="str">
        <x:v>Modelización, simulación y optimización de procesos</x:v>
      </x:c>
      <x:c r="D39" s="26" t="n">
        <x:v>0</x:v>
      </x:c>
      <x:c r="E39" s="26" t="n">
        <x:v>0</x:v>
      </x:c>
      <x:c r="F39" s="26" t="n">
        <x:v>0</x:v>
      </x:c>
      <x:c r="G39" s="26" t="n">
        <x:v>0</x:v>
      </x:c>
      <x:c r="H39" s="26" t="n">
        <x:v>0</x:v>
      </x:c>
      <x:c r="I39" s="26" t="str">
        <x:v>Solo evidencia declarada; la ausencia de datos no se interpreta como ausencia formativa real.</x:v>
      </x:c>
    </x:row>
    <x:row r="40">
      <x:c r="A40" s="26" t="str">
        <x:v>A06</x:v>
      </x:c>
      <x:c r="B40" s="26" t="str">
        <x:v>F0601</x:v>
      </x:c>
      <x:c r="C40" s="26" t="str">
        <x:v>Química y bioquímica de alimentos</x:v>
      </x:c>
      <x:c r="D40" s="26" t="n">
        <x:v>1</x:v>
      </x:c>
      <x:c r="E40" s="26" t="n">
        <x:v>1</x:v>
      </x:c>
      <x:c r="F40" s="26" t="n">
        <x:v>0</x:v>
      </x:c>
      <x:c r="G40" s="26" t="n">
        <x:v>1</x:v>
      </x:c>
      <x:c r="H40" s="26" t="n">
        <x:v>0</x:v>
      </x:c>
      <x:c r="I40" s="26" t="str">
        <x:v>Solo evidencia declarada; la ausencia de datos no se interpreta como ausencia formativa real.</x:v>
      </x:c>
    </x:row>
    <x:row r="41">
      <x:c r="A41" s="26" t="str">
        <x:v>A06</x:v>
      </x:c>
      <x:c r="B41" s="26" t="str">
        <x:v>F0602</x:v>
      </x:c>
      <x:c r="C41" s="26" t="str">
        <x:v>Física, reología y estructura de alimentos</x:v>
      </x:c>
      <x:c r="D41" s="26" t="n">
        <x:v>0</x:v>
      </x:c>
      <x:c r="E41" s="26" t="n">
        <x:v>0</x:v>
      </x:c>
      <x:c r="F41" s="26" t="n">
        <x:v>0</x:v>
      </x:c>
      <x:c r="G41" s="26" t="n">
        <x:v>0</x:v>
      </x:c>
      <x:c r="H41" s="26" t="n">
        <x:v>0</x:v>
      </x:c>
      <x:c r="I41" s="26" t="str">
        <x:v>Solo evidencia declarada; la ausencia de datos no se interpreta como ausencia formativa real.</x:v>
      </x:c>
    </x:row>
    <x:row r="42">
      <x:c r="A42" s="26" t="str">
        <x:v>A06</x:v>
      </x:c>
      <x:c r="B42" s="26" t="str">
        <x:v>F0603</x:v>
      </x:c>
      <x:c r="C42" s="26" t="str">
        <x:v>Ingredientes y funcionalidad tecnológica</x:v>
      </x:c>
      <x:c r="D42" s="26" t="n">
        <x:v>0</x:v>
      </x:c>
      <x:c r="E42" s="26" t="n">
        <x:v>0</x:v>
      </x:c>
      <x:c r="F42" s="26" t="n">
        <x:v>0</x:v>
      </x:c>
      <x:c r="G42" s="26" t="n">
        <x:v>0</x:v>
      </x:c>
      <x:c r="H42" s="26" t="n">
        <x:v>0</x:v>
      </x:c>
      <x:c r="I42" s="26" t="str">
        <x:v>Solo evidencia declarada; la ausencia de datos no se interpreta como ausencia formativa real.</x:v>
      </x:c>
    </x:row>
    <x:row r="43">
      <x:c r="A43" s="26" t="str">
        <x:v>A06</x:v>
      </x:c>
      <x:c r="B43" s="26" t="str">
        <x:v>F0604</x:v>
      </x:c>
      <x:c r="C43" s="26" t="str">
        <x:v>Tecnología / procesamiento general de alimentos</x:v>
      </x:c>
      <x:c r="D43" s="26" t="n">
        <x:v>2</x:v>
      </x:c>
      <x:c r="E43" s="26" t="n">
        <x:v>2</x:v>
      </x:c>
      <x:c r="F43" s="26" t="n">
        <x:v>0</x:v>
      </x:c>
      <x:c r="G43" s="26" t="n">
        <x:v>2</x:v>
      </x:c>
      <x:c r="H43" s="26" t="n">
        <x:v>0</x:v>
      </x:c>
      <x:c r="I43" s="26" t="str">
        <x:v>Solo evidencia declarada; la ausencia de datos no se interpreta como ausencia formativa real.</x:v>
      </x:c>
    </x:row>
    <x:row r="44">
      <x:c r="A44" s="26" t="str">
        <x:v>A06</x:v>
      </x:c>
      <x:c r="B44" s="26" t="str">
        <x:v>F0605</x:v>
      </x:c>
      <x:c r="C44" s="26" t="str">
        <x:v>Conservación de alimentos y tecnologías emergentes</x:v>
      </x:c>
      <x:c r="D44" s="26" t="n">
        <x:v>0</x:v>
      </x:c>
      <x:c r="E44" s="26" t="n">
        <x:v>0</x:v>
      </x:c>
      <x:c r="F44" s="26" t="n">
        <x:v>0</x:v>
      </x:c>
      <x:c r="G44" s="26" t="n">
        <x:v>0</x:v>
      </x:c>
      <x:c r="H44" s="26" t="n">
        <x:v>0</x:v>
      </x:c>
      <x:c r="I44" s="26" t="str">
        <x:v>Solo evidencia declarada; la ausencia de datos no se interpreta como ausencia formativa real.</x:v>
      </x:c>
    </x:row>
    <x:row r="45">
      <x:c r="A45" s="26" t="str">
        <x:v>A06</x:v>
      </x:c>
      <x:c r="B45" s="26" t="str">
        <x:v>F0606</x:v>
      </x:c>
      <x:c r="C45" s="26" t="str">
        <x:v>Formulación y diseño tecnológico del alimento</x:v>
      </x:c>
      <x:c r="D45" s="26" t="n">
        <x:v>1</x:v>
      </x:c>
      <x:c r="E45" s="26" t="n">
        <x:v>1</x:v>
      </x:c>
      <x:c r="F45" s="26" t="n">
        <x:v>0</x:v>
      </x:c>
      <x:c r="G45" s="26" t="n">
        <x:v>1</x:v>
      </x:c>
      <x:c r="H45" s="26" t="n">
        <x:v>1</x:v>
      </x:c>
      <x:c r="I45" s="26" t="str">
        <x:v>Solo evidencia declarada; la ausencia de datos no se interpreta como ausencia formativa real.</x:v>
      </x:c>
    </x:row>
    <x:row r="46">
      <x:c r="A46" s="26" t="str">
        <x:v>A07</x:v>
      </x:c>
      <x:c r="B46" s="26" t="str">
        <x:v>F0701</x:v>
      </x:c>
      <x:c r="C46" s="26" t="str">
        <x:v>Tecnología de lácteos</x:v>
      </x:c>
      <x:c r="D46" s="26" t="n">
        <x:v>0</x:v>
      </x:c>
      <x:c r="E46" s="26" t="n">
        <x:v>0</x:v>
      </x:c>
      <x:c r="F46" s="26" t="n">
        <x:v>0</x:v>
      </x:c>
      <x:c r="G46" s="26" t="n">
        <x:v>0</x:v>
      </x:c>
      <x:c r="H46" s="26" t="n">
        <x:v>0</x:v>
      </x:c>
      <x:c r="I46" s="26" t="str">
        <x:v>Solo evidencia declarada; la ausencia de datos no se interpreta como ausencia formativa real.</x:v>
      </x:c>
    </x:row>
    <x:row r="47">
      <x:c r="A47" s="26" t="str">
        <x:v>A07</x:v>
      </x:c>
      <x:c r="B47" s="26" t="str">
        <x:v>F0702</x:v>
      </x:c>
      <x:c r="C47" s="26" t="str">
        <x:v>Tecnología de carnes, aves y pescado</x:v>
      </x:c>
      <x:c r="D47" s="26" t="n">
        <x:v>0</x:v>
      </x:c>
      <x:c r="E47" s="26" t="n">
        <x:v>0</x:v>
      </x:c>
      <x:c r="F47" s="26" t="n">
        <x:v>0</x:v>
      </x:c>
      <x:c r="G47" s="26" t="n">
        <x:v>0</x:v>
      </x:c>
      <x:c r="H47" s="26" t="n">
        <x:v>0</x:v>
      </x:c>
      <x:c r="I47" s="26" t="str">
        <x:v>Solo evidencia declarada; la ausencia de datos no se interpreta como ausencia formativa real.</x:v>
      </x:c>
    </x:row>
    <x:row r="48">
      <x:c r="A48" s="26" t="str">
        <x:v>A07</x:v>
      </x:c>
      <x:c r="B48" s="26" t="str">
        <x:v>F0703</x:v>
      </x:c>
      <x:c r="C48" s="26" t="str">
        <x:v>Tecnología de cereales y derivados</x:v>
      </x:c>
      <x:c r="D48" s="26" t="n">
        <x:v>0</x:v>
      </x:c>
      <x:c r="E48" s="26" t="n">
        <x:v>0</x:v>
      </x:c>
      <x:c r="F48" s="26" t="n">
        <x:v>0</x:v>
      </x:c>
      <x:c r="G48" s="26" t="n">
        <x:v>0</x:v>
      </x:c>
      <x:c r="H48" s="26" t="n">
        <x:v>0</x:v>
      </x:c>
      <x:c r="I48" s="26" t="str">
        <x:v>Solo evidencia declarada; la ausencia de datos no se interpreta como ausencia formativa real.</x:v>
      </x:c>
    </x:row>
    <x:row r="49">
      <x:c r="A49" s="26" t="str">
        <x:v>A07</x:v>
      </x:c>
      <x:c r="B49" s="26" t="str">
        <x:v>F0704</x:v>
      </x:c>
      <x:c r="C49" s="26" t="str">
        <x:v>Tecnología de frutas, hortalizas y zumos</x:v>
      </x:c>
      <x:c r="D49" s="26" t="n">
        <x:v>0</x:v>
      </x:c>
      <x:c r="E49" s="26" t="n">
        <x:v>0</x:v>
      </x:c>
      <x:c r="F49" s="26" t="n">
        <x:v>0</x:v>
      </x:c>
      <x:c r="G49" s="26" t="n">
        <x:v>0</x:v>
      </x:c>
      <x:c r="H49" s="26" t="n">
        <x:v>0</x:v>
      </x:c>
      <x:c r="I49" s="26" t="str">
        <x:v>Solo evidencia declarada; la ausencia de datos no se interpreta como ausencia formativa real.</x:v>
      </x:c>
    </x:row>
    <x:row r="50">
      <x:c r="A50" s="26" t="str">
        <x:v>A07</x:v>
      </x:c>
      <x:c r="B50" s="26" t="str">
        <x:v>F0705</x:v>
      </x:c>
      <x:c r="C50" s="26" t="str">
        <x:v>Tecnología de aceites y grasas</x:v>
      </x:c>
      <x:c r="D50" s="26" t="n">
        <x:v>0</x:v>
      </x:c>
      <x:c r="E50" s="26" t="n">
        <x:v>0</x:v>
      </x:c>
      <x:c r="F50" s="26" t="n">
        <x:v>0</x:v>
      </x:c>
      <x:c r="G50" s="26" t="n">
        <x:v>0</x:v>
      </x:c>
      <x:c r="H50" s="26" t="n">
        <x:v>0</x:v>
      </x:c>
      <x:c r="I50" s="26" t="str">
        <x:v>Solo evidencia declarada; la ausencia de datos no se interpreta como ausencia formativa real.</x:v>
      </x:c>
    </x:row>
    <x:row r="51">
      <x:c r="A51" s="26" t="str">
        <x:v>A07</x:v>
      </x:c>
      <x:c r="B51" s="26" t="str">
        <x:v>F0706</x:v>
      </x:c>
      <x:c r="C51" s="26" t="str">
        <x:v>Tecnología de vino, cerveza y bebidas alcohólicas</x:v>
      </x:c>
      <x:c r="D51" s="26" t="n">
        <x:v>0</x:v>
      </x:c>
      <x:c r="E51" s="26" t="n">
        <x:v>0</x:v>
      </x:c>
      <x:c r="F51" s="26" t="n">
        <x:v>0</x:v>
      </x:c>
      <x:c r="G51" s="26" t="n">
        <x:v>0</x:v>
      </x:c>
      <x:c r="H51" s="26" t="n">
        <x:v>0</x:v>
      </x:c>
      <x:c r="I51" s="26" t="str">
        <x:v>Solo evidencia declarada; la ausencia de datos no se interpreta como ausencia formativa real.</x:v>
      </x:c>
    </x:row>
    <x:row r="52">
      <x:c r="A52" s="26" t="str">
        <x:v>A07</x:v>
      </x:c>
      <x:c r="B52" s="26" t="str">
        <x:v>F0707</x:v>
      </x:c>
      <x:c r="C52" s="26" t="str">
        <x:v>Fermentaciones y productos fermentados</x:v>
      </x:c>
      <x:c r="D52" s="26" t="n">
        <x:v>0</x:v>
      </x:c>
      <x:c r="E52" s="26" t="n">
        <x:v>0</x:v>
      </x:c>
      <x:c r="F52" s="26" t="n">
        <x:v>0</x:v>
      </x:c>
      <x:c r="G52" s="26" t="n">
        <x:v>0</x:v>
      </x:c>
      <x:c r="H52" s="26" t="n">
        <x:v>0</x:v>
      </x:c>
      <x:c r="I52" s="26" t="str">
        <x:v>Solo evidencia declarada; la ausencia de datos no se interpreta como ausencia formativa real.</x:v>
      </x:c>
    </x:row>
    <x:row r="53">
      <x:c r="A53" s="26" t="str">
        <x:v>A07</x:v>
      </x:c>
      <x:c r="B53" s="26" t="str">
        <x:v>F0708</x:v>
      </x:c>
      <x:c r="C53" s="26" t="str">
        <x:v>Tecnología de recursos marinos</x:v>
      </x:c>
      <x:c r="D53" s="26" t="n">
        <x:v>0</x:v>
      </x:c>
      <x:c r="E53" s="26" t="n">
        <x:v>0</x:v>
      </x:c>
      <x:c r="F53" s="26" t="n">
        <x:v>0</x:v>
      </x:c>
      <x:c r="G53" s="26" t="n">
        <x:v>0</x:v>
      </x:c>
      <x:c r="H53" s="26" t="n">
        <x:v>0</x:v>
      </x:c>
      <x:c r="I53" s="26" t="str">
        <x:v>Solo evidencia declarada; la ausencia de datos no se interpreta como ausencia formativa real.</x:v>
      </x:c>
    </x:row>
    <x:row r="54">
      <x:c r="A54" s="26" t="str">
        <x:v>A07</x:v>
      </x:c>
      <x:c r="B54" s="26" t="str">
        <x:v>F0709</x:v>
      </x:c>
      <x:c r="C54" s="26" t="str">
        <x:v>Alimentos alternativos y proteínas emergentes</x:v>
      </x:c>
      <x:c r="D54" s="26" t="n">
        <x:v>0</x:v>
      </x:c>
      <x:c r="E54" s="26" t="n">
        <x:v>0</x:v>
      </x:c>
      <x:c r="F54" s="26" t="n">
        <x:v>0</x:v>
      </x:c>
      <x:c r="G54" s="26" t="n">
        <x:v>0</x:v>
      </x:c>
      <x:c r="H54" s="26" t="n">
        <x:v>0</x:v>
      </x:c>
      <x:c r="I54" s="26" t="str">
        <x:v>Solo evidencia declarada; la ausencia de datos no se interpreta como ausencia formativa real.</x:v>
      </x:c>
    </x:row>
    <x:row r="55">
      <x:c r="A55" s="26" t="str">
        <x:v>A07</x:v>
      </x:c>
      <x:c r="B55" s="26" t="str">
        <x:v>F0710</x:v>
      </x:c>
      <x:c r="C55" s="26" t="str">
        <x:v>Otras industrias alimentarias y extractivas</x:v>
      </x:c>
      <x:c r="D55" s="26" t="n">
        <x:v>1</x:v>
      </x:c>
      <x:c r="E55" s="26" t="n">
        <x:v>1</x:v>
      </x:c>
      <x:c r="F55" s="26" t="n">
        <x:v>0</x:v>
      </x:c>
      <x:c r="G55" s="26" t="n">
        <x:v>1</x:v>
      </x:c>
      <x:c r="H55" s="26" t="n">
        <x:v>0</x:v>
      </x:c>
      <x:c r="I55" s="26" t="str">
        <x:v>Solo evidencia declarada; la ausencia de datos no se interpreta como ausencia formativa real.</x:v>
      </x:c>
    </x:row>
    <x:row r="56">
      <x:c r="A56" s="26" t="str">
        <x:v>A08</x:v>
      </x:c>
      <x:c r="B56" s="26" t="str">
        <x:v>F0801</x:v>
      </x:c>
      <x:c r="C56" s="26" t="str">
        <x:v>Análisis químico, físico e instrumental de alimentos</x:v>
      </x:c>
      <x:c r="D56" s="26" t="n">
        <x:v>1</x:v>
      </x:c>
      <x:c r="E56" s="26" t="n">
        <x:v>1</x:v>
      </x:c>
      <x:c r="F56" s="26" t="n">
        <x:v>0</x:v>
      </x:c>
      <x:c r="G56" s="26" t="n">
        <x:v>1</x:v>
      </x:c>
      <x:c r="H56" s="26" t="n">
        <x:v>0</x:v>
      </x:c>
      <x:c r="I56" s="26" t="str">
        <x:v>Solo evidencia declarada; la ausencia de datos no se interpreta como ausencia formativa real.</x:v>
      </x:c>
    </x:row>
    <x:row r="57">
      <x:c r="A57" s="26" t="str">
        <x:v>A08</x:v>
      </x:c>
      <x:c r="B57" s="26" t="str">
        <x:v>F0802</x:v>
      </x:c>
      <x:c r="C57" s="26" t="str">
        <x:v>Análisis sensorial y evaluación organoléptica</x:v>
      </x:c>
      <x:c r="D57" s="26" t="n">
        <x:v>0</x:v>
      </x:c>
      <x:c r="E57" s="26" t="n">
        <x:v>0</x:v>
      </x:c>
      <x:c r="F57" s="26" t="n">
        <x:v>0</x:v>
      </x:c>
      <x:c r="G57" s="26" t="n">
        <x:v>0</x:v>
      </x:c>
      <x:c r="H57" s="26" t="n">
        <x:v>0</x:v>
      </x:c>
      <x:c r="I57" s="26" t="str">
        <x:v>Solo evidencia declarada; la ausencia de datos no se interpreta como ausencia formativa real.</x:v>
      </x:c>
    </x:row>
    <x:row r="58">
      <x:c r="A58" s="26" t="str">
        <x:v>A08</x:v>
      </x:c>
      <x:c r="B58" s="26" t="str">
        <x:v>F0803</x:v>
      </x:c>
      <x:c r="C58" s="26" t="str">
        <x:v>Gestión y aseguramiento de la calidad</x:v>
      </x:c>
      <x:c r="D58" s="26" t="n">
        <x:v>2</x:v>
      </x:c>
      <x:c r="E58" s="26" t="n">
        <x:v>2</x:v>
      </x:c>
      <x:c r="F58" s="26" t="n">
        <x:v>0</x:v>
      </x:c>
      <x:c r="G58" s="26" t="n">
        <x:v>2</x:v>
      </x:c>
      <x:c r="H58" s="26" t="n">
        <x:v>1</x:v>
      </x:c>
      <x:c r="I58" s="26" t="str">
        <x:v>Solo evidencia declarada; la ausencia de datos no se interpreta como ausencia formativa real.</x:v>
      </x:c>
    </x:row>
    <x:row r="59">
      <x:c r="A59" s="26" t="str">
        <x:v>A08</x:v>
      </x:c>
      <x:c r="B59" s="26" t="str">
        <x:v>F0804</x:v>
      </x:c>
      <x:c r="C59" s="26" t="str">
        <x:v>Inocuidad y seguridad alimentaria / HACCP</x:v>
      </x:c>
      <x:c r="D59" s="26" t="n">
        <x:v>0</x:v>
      </x:c>
      <x:c r="E59" s="26" t="n">
        <x:v>0</x:v>
      </x:c>
      <x:c r="F59" s="26" t="n">
        <x:v>0</x:v>
      </x:c>
      <x:c r="G59" s="26" t="n">
        <x:v>0</x:v>
      </x:c>
      <x:c r="H59" s="26" t="n">
        <x:v>0</x:v>
      </x:c>
      <x:c r="I59" s="26" t="str">
        <x:v>Solo evidencia declarada; la ausencia de datos no se interpreta como ausencia formativa real.</x:v>
      </x:c>
    </x:row>
    <x:row r="60">
      <x:c r="A60" s="26" t="str">
        <x:v>A08</x:v>
      </x:c>
      <x:c r="B60" s="26" t="str">
        <x:v>F0805</x:v>
      </x:c>
      <x:c r="C60" s="26" t="str">
        <x:v>Higiene, saneamiento y diseño higiénico</x:v>
      </x:c>
      <x:c r="D60" s="26" t="n">
        <x:v>1</x:v>
      </x:c>
      <x:c r="E60" s="26" t="n">
        <x:v>1</x:v>
      </x:c>
      <x:c r="F60" s="26" t="n">
        <x:v>0</x:v>
      </x:c>
      <x:c r="G60" s="26" t="n">
        <x:v>1</x:v>
      </x:c>
      <x:c r="H60" s="26" t="n">
        <x:v>0</x:v>
      </x:c>
      <x:c r="I60" s="26" t="str">
        <x:v>Solo evidencia declarada; la ausencia de datos no se interpreta como ausencia formativa real.</x:v>
      </x:c>
    </x:row>
    <x:row r="61">
      <x:c r="A61" s="26" t="str">
        <x:v>A08</x:v>
      </x:c>
      <x:c r="B61" s="26" t="str">
        <x:v>F0806</x:v>
      </x:c>
      <x:c r="C61" s="26" t="str">
        <x:v>Derecho, regulación y etiquetado alimentario</x:v>
      </x:c>
      <x:c r="D61" s="26" t="n">
        <x:v>0</x:v>
      </x:c>
      <x:c r="E61" s="26" t="n">
        <x:v>0</x:v>
      </x:c>
      <x:c r="F61" s="26" t="n">
        <x:v>0</x:v>
      </x:c>
      <x:c r="G61" s="26" t="n">
        <x:v>0</x:v>
      </x:c>
      <x:c r="H61" s="26" t="n">
        <x:v>0</x:v>
      </x:c>
      <x:c r="I61" s="26" t="str">
        <x:v>Solo evidencia declarada; la ausencia de datos no se interpreta como ausencia formativa real.</x:v>
      </x:c>
    </x:row>
    <x:row r="62">
      <x:c r="A62" s="26" t="str">
        <x:v>A08</x:v>
      </x:c>
      <x:c r="B62" s="26" t="str">
        <x:v>F0807</x:v>
      </x:c>
      <x:c r="C62" s="26" t="str">
        <x:v>Trazabilidad, certificación y auditoría</x:v>
      </x:c>
      <x:c r="D62" s="26" t="n">
        <x:v>0</x:v>
      </x:c>
      <x:c r="E62" s="26" t="n">
        <x:v>0</x:v>
      </x:c>
      <x:c r="F62" s="26" t="n">
        <x:v>0</x:v>
      </x:c>
      <x:c r="G62" s="26" t="n">
        <x:v>0</x:v>
      </x:c>
      <x:c r="H62" s="26" t="n">
        <x:v>0</x:v>
      </x:c>
      <x:c r="I62" s="26" t="str">
        <x:v>Solo evidencia declarada; la ausencia de datos no se interpreta como ausencia formativa real.</x:v>
      </x:c>
    </x:row>
    <x:row r="63">
      <x:c r="A63" s="26" t="str">
        <x:v>A09</x:v>
      </x:c>
      <x:c r="B63" s="26" t="str">
        <x:v>F0901</x:v>
      </x:c>
      <x:c r="C63" s="26" t="str">
        <x:v>Diseño de plantas e industrias alimentarias</x:v>
      </x:c>
      <x:c r="D63" s="26" t="n">
        <x:v>1</x:v>
      </x:c>
      <x:c r="E63" s="26" t="n">
        <x:v>1</x:v>
      </x:c>
      <x:c r="F63" s="26" t="n">
        <x:v>0</x:v>
      </x:c>
      <x:c r="G63" s="26" t="n">
        <x:v>0</x:v>
      </x:c>
      <x:c r="H63" s="26" t="n">
        <x:v>1</x:v>
      </x:c>
      <x:c r="I63" s="26" t="str">
        <x:v>Solo evidencia declarada; la ausencia de datos no se interpreta como ausencia formativa real.</x:v>
      </x:c>
    </x:row>
    <x:row r="64">
      <x:c r="A64" s="26" t="str">
        <x:v>A09</x:v>
      </x:c>
      <x:c r="B64" s="26" t="str">
        <x:v>F0902</x:v>
      </x:c>
      <x:c r="C64" s="26" t="str">
        <x:v>Maquinaria y equipos de proceso</x:v>
      </x:c>
      <x:c r="D64" s="26" t="n">
        <x:v>1</x:v>
      </x:c>
      <x:c r="E64" s="26" t="n">
        <x:v>1</x:v>
      </x:c>
      <x:c r="F64" s="26" t="n">
        <x:v>0</x:v>
      </x:c>
      <x:c r="G64" s="26" t="n">
        <x:v>1</x:v>
      </x:c>
      <x:c r="H64" s="26" t="n">
        <x:v>0</x:v>
      </x:c>
      <x:c r="I64" s="26" t="str">
        <x:v>Solo evidencia declarada; la ausencia de datos no se interpreta como ausencia formativa real.</x:v>
      </x:c>
    </x:row>
    <x:row r="65">
      <x:c r="A65" s="26" t="str">
        <x:v>A09</x:v>
      </x:c>
      <x:c r="B65" s="26" t="str">
        <x:v>F0903</x:v>
      </x:c>
      <x:c r="C65" s="26" t="str">
        <x:v>Instalaciones y servicios auxiliares</x:v>
      </x:c>
      <x:c r="D65" s="26" t="n">
        <x:v>1</x:v>
      </x:c>
      <x:c r="E65" s="26" t="n">
        <x:v>1</x:v>
      </x:c>
      <x:c r="F65" s="26" t="n">
        <x:v>0</x:v>
      </x:c>
      <x:c r="G65" s="26" t="n">
        <x:v>0</x:v>
      </x:c>
      <x:c r="H65" s="26" t="n">
        <x:v>1</x:v>
      </x:c>
      <x:c r="I65" s="26" t="str">
        <x:v>Solo evidencia declarada; la ausencia de datos no se interpreta como ausencia formativa real.</x:v>
      </x:c>
    </x:row>
    <x:row r="66">
      <x:c r="A66" s="26" t="str">
        <x:v>A09</x:v>
      </x:c>
      <x:c r="B66" s="26" t="str">
        <x:v>F0904</x:v>
      </x:c>
      <x:c r="C66" s="26" t="str">
        <x:v>Construcciones agroindustriales</x:v>
      </x:c>
      <x:c r="D66" s="26" t="n">
        <x:v>0</x:v>
      </x:c>
      <x:c r="E66" s="26" t="n">
        <x:v>0</x:v>
      </x:c>
      <x:c r="F66" s="26" t="n">
        <x:v>0</x:v>
      </x:c>
      <x:c r="G66" s="26" t="n">
        <x:v>0</x:v>
      </x:c>
      <x:c r="H66" s="26" t="n">
        <x:v>0</x:v>
      </x:c>
      <x:c r="I66" s="26" t="str">
        <x:v>Solo evidencia declarada; la ausencia de datos no se interpreta como ausencia formativa real.</x:v>
      </x:c>
    </x:row>
    <x:row r="67">
      <x:c r="A67" s="26" t="str">
        <x:v>A09</x:v>
      </x:c>
      <x:c r="B67" s="26" t="str">
        <x:v>F0905</x:v>
      </x:c>
      <x:c r="C67" s="26" t="str">
        <x:v>Automatización, control e instrumentación</x:v>
      </x:c>
      <x:c r="D67" s="26" t="n">
        <x:v>0</x:v>
      </x:c>
      <x:c r="E67" s="26" t="n">
        <x:v>0</x:v>
      </x:c>
      <x:c r="F67" s="26" t="n">
        <x:v>0</x:v>
      </x:c>
      <x:c r="G67" s="26" t="n">
        <x:v>0</x:v>
      </x:c>
      <x:c r="H67" s="26" t="n">
        <x:v>0</x:v>
      </x:c>
      <x:c r="I67" s="26" t="str">
        <x:v>Solo evidencia declarada; la ausencia de datos no se interpreta como ausencia formativa real.</x:v>
      </x:c>
    </x:row>
    <x:row r="68">
      <x:c r="A68" s="26" t="str">
        <x:v>A09</x:v>
      </x:c>
      <x:c r="B68" s="26" t="str">
        <x:v>F0906</x:v>
      </x:c>
      <x:c r="C68" s="26" t="str">
        <x:v>Robótica, digitalización e Industria 4.0</x:v>
      </x:c>
      <x:c r="D68" s="26" t="n">
        <x:v>0</x:v>
      </x:c>
      <x:c r="E68" s="26" t="n">
        <x:v>0</x:v>
      </x:c>
      <x:c r="F68" s="26" t="n">
        <x:v>0</x:v>
      </x:c>
      <x:c r="G68" s="26" t="n">
        <x:v>0</x:v>
      </x:c>
      <x:c r="H68" s="26" t="n">
        <x:v>0</x:v>
      </x:c>
      <x:c r="I68" s="26" t="str">
        <x:v>Solo evidencia declarada; la ausencia de datos no se interpreta como ausencia formativa real.</x:v>
      </x:c>
    </x:row>
    <x:row r="69">
      <x:c r="A69" s="26" t="str">
        <x:v>A09</x:v>
      </x:c>
      <x:c r="B69" s="26" t="str">
        <x:v>F0907</x:v>
      </x:c>
      <x:c r="C69" s="26" t="str">
        <x:v>Envases, materiales y packaging</x:v>
      </x:c>
      <x:c r="D69" s="26" t="n">
        <x:v>0</x:v>
      </x:c>
      <x:c r="E69" s="26" t="n">
        <x:v>0</x:v>
      </x:c>
      <x:c r="F69" s="26" t="n">
        <x:v>0</x:v>
      </x:c>
      <x:c r="G69" s="26" t="n">
        <x:v>0</x:v>
      </x:c>
      <x:c r="H69" s="26" t="n">
        <x:v>0</x:v>
      </x:c>
      <x:c r="I69" s="26" t="str">
        <x:v>Solo evidencia declarada; la ausencia de datos no se interpreta como ausencia formativa real.</x:v>
      </x:c>
    </x:row>
    <x:row r="70">
      <x:c r="A70" s="26" t="str">
        <x:v>A09</x:v>
      </x:c>
      <x:c r="B70" s="26" t="str">
        <x:v>F0908</x:v>
      </x:c>
      <x:c r="C70" s="26" t="str">
        <x:v>Sistemas energéticos y utilidades térmicas</x:v>
      </x:c>
      <x:c r="D70" s="26" t="n">
        <x:v>1</x:v>
      </x:c>
      <x:c r="E70" s="26" t="n">
        <x:v>1</x:v>
      </x:c>
      <x:c r="F70" s="26" t="n">
        <x:v>0</x:v>
      </x:c>
      <x:c r="G70" s="26" t="n">
        <x:v>0</x:v>
      </x:c>
      <x:c r="H70" s="26" t="n">
        <x:v>1</x:v>
      </x:c>
      <x:c r="I70" s="26" t="str">
        <x:v>Solo evidencia declarada; la ausencia de datos no se interpreta como ausencia formativa real.</x:v>
      </x:c>
    </x:row>
    <x:row r="71">
      <x:c r="A71" s="26" t="str">
        <x:v>A10</x:v>
      </x:c>
      <x:c r="B71" s="26" t="str">
        <x:v>F1001</x:v>
      </x:c>
      <x:c r="C71" s="26" t="str">
        <x:v>Producción vegetal y fitotecnia</x:v>
      </x:c>
      <x:c r="D71" s="26" t="n">
        <x:v>0</x:v>
      </x:c>
      <x:c r="E71" s="26" t="n">
        <x:v>0</x:v>
      </x:c>
      <x:c r="F71" s="26" t="n">
        <x:v>0</x:v>
      </x:c>
      <x:c r="G71" s="26" t="n">
        <x:v>0</x:v>
      </x:c>
      <x:c r="H71" s="26" t="n">
        <x:v>0</x:v>
      </x:c>
      <x:c r="I71" s="26" t="str">
        <x:v>Solo evidencia declarada; la ausencia de datos no se interpreta como ausencia formativa real.</x:v>
      </x:c>
    </x:row>
    <x:row r="72">
      <x:c r="A72" s="26" t="str">
        <x:v>A10</x:v>
      </x:c>
      <x:c r="B72" s="26" t="str">
        <x:v>F1002</x:v>
      </x:c>
      <x:c r="C72" s="26" t="str">
        <x:v>Producción animal y zootecnia</x:v>
      </x:c>
      <x:c r="D72" s="26" t="n">
        <x:v>1</x:v>
      </x:c>
      <x:c r="E72" s="26" t="n">
        <x:v>1</x:v>
      </x:c>
      <x:c r="F72" s="26" t="n">
        <x:v>0</x:v>
      </x:c>
      <x:c r="G72" s="26" t="n">
        <x:v>1</x:v>
      </x:c>
      <x:c r="H72" s="26" t="n">
        <x:v>0</x:v>
      </x:c>
      <x:c r="I72" s="26" t="str">
        <x:v>Solo evidencia declarada; la ausencia de datos no se interpreta como ausencia formativa real.</x:v>
      </x:c>
    </x:row>
    <x:row r="73">
      <x:c r="A73" s="26" t="str">
        <x:v>A10</x:v>
      </x:c>
      <x:c r="B73" s="26" t="str">
        <x:v>F1003</x:v>
      </x:c>
      <x:c r="C73" s="26" t="str">
        <x:v>Materias primas agroalimentarias y aprovisionamiento</x:v>
      </x:c>
      <x:c r="D73" s="26" t="n">
        <x:v>0</x:v>
      </x:c>
      <x:c r="E73" s="26" t="n">
        <x:v>0</x:v>
      </x:c>
      <x:c r="F73" s="26" t="n">
        <x:v>0</x:v>
      </x:c>
      <x:c r="G73" s="26" t="n">
        <x:v>0</x:v>
      </x:c>
      <x:c r="H73" s="26" t="n">
        <x:v>0</x:v>
      </x:c>
      <x:c r="I73" s="26" t="str">
        <x:v>Solo evidencia declarada; la ausencia de datos no se interpreta como ausencia formativa real.</x:v>
      </x:c>
    </x:row>
    <x:row r="74">
      <x:c r="A74" s="26" t="str">
        <x:v>A10</x:v>
      </x:c>
      <x:c r="B74" s="26" t="str">
        <x:v>F1004</x:v>
      </x:c>
      <x:c r="C74" s="26" t="str">
        <x:v>Poscosecha y conservación de materia prima</x:v>
      </x:c>
      <x:c r="D74" s="26" t="n">
        <x:v>0</x:v>
      </x:c>
      <x:c r="E74" s="26" t="n">
        <x:v>0</x:v>
      </x:c>
      <x:c r="F74" s="26" t="n">
        <x:v>0</x:v>
      </x:c>
      <x:c r="G74" s="26" t="n">
        <x:v>0</x:v>
      </x:c>
      <x:c r="H74" s="26" t="n">
        <x:v>0</x:v>
      </x:c>
      <x:c r="I74" s="26" t="str">
        <x:v>Solo evidencia declarada; la ausencia de datos no se interpreta como ausencia formativa real.</x:v>
      </x:c>
    </x:row>
    <x:row r="75">
      <x:c r="A75" s="26" t="str">
        <x:v>A10</x:v>
      </x:c>
      <x:c r="B75" s="26" t="str">
        <x:v>F1005</x:v>
      </x:c>
      <x:c r="C75" s="26" t="str">
        <x:v>Edafología, geología y climatología</x:v>
      </x:c>
      <x:c r="D75" s="26" t="n">
        <x:v>0</x:v>
      </x:c>
      <x:c r="E75" s="26" t="n">
        <x:v>0</x:v>
      </x:c>
      <x:c r="F75" s="26" t="n">
        <x:v>0</x:v>
      </x:c>
      <x:c r="G75" s="26" t="n">
        <x:v>0</x:v>
      </x:c>
      <x:c r="H75" s="26" t="n">
        <x:v>0</x:v>
      </x:c>
      <x:c r="I75" s="26" t="str">
        <x:v>Solo evidencia declarada; la ausencia de datos no se interpreta como ausencia formativa real.</x:v>
      </x:c>
    </x:row>
    <x:row r="76">
      <x:c r="A76" s="26" t="str">
        <x:v>A10</x:v>
      </x:c>
      <x:c r="B76" s="26" t="str">
        <x:v>F1006</x:v>
      </x:c>
      <x:c r="C76" s="26" t="str">
        <x:v>Geomática, topografía y cartografía</x:v>
      </x:c>
      <x:c r="D76" s="26" t="n">
        <x:v>0</x:v>
      </x:c>
      <x:c r="E76" s="26" t="n">
        <x:v>0</x:v>
      </x:c>
      <x:c r="F76" s="26" t="n">
        <x:v>0</x:v>
      </x:c>
      <x:c r="G76" s="26" t="n">
        <x:v>0</x:v>
      </x:c>
      <x:c r="H76" s="26" t="n">
        <x:v>0</x:v>
      </x:c>
      <x:c r="I76" s="26" t="str">
        <x:v>Solo evidencia declarada; la ausencia de datos no se interpreta como ausencia formativa real.</x:v>
      </x:c>
    </x:row>
    <x:row r="77">
      <x:c r="A77" s="26" t="str">
        <x:v>A10</x:v>
      </x:c>
      <x:c r="B77" s="26" t="str">
        <x:v>F1007</x:v>
      </x:c>
      <x:c r="C77" s="26" t="str">
        <x:v>Riego, drenaje y mecanización agrícola</x:v>
      </x:c>
      <x:c r="D77" s="26" t="n">
        <x:v>0</x:v>
      </x:c>
      <x:c r="E77" s="26" t="n">
        <x:v>0</x:v>
      </x:c>
      <x:c r="F77" s="26" t="n">
        <x:v>0</x:v>
      </x:c>
      <x:c r="G77" s="26" t="n">
        <x:v>0</x:v>
      </x:c>
      <x:c r="H77" s="26" t="n">
        <x:v>0</x:v>
      </x:c>
      <x:c r="I77" s="26" t="str">
        <x:v>Solo evidencia declarada; la ausencia de datos no se interpreta como ausencia formativa real.</x:v>
      </x:c>
    </x:row>
    <x:row r="78">
      <x:c r="A78" s="26" t="str">
        <x:v>A11</x:v>
      </x:c>
      <x:c r="B78" s="26" t="str">
        <x:v>F1101</x:v>
      </x:c>
      <x:c r="C78" s="26" t="str">
        <x:v>Ecología e impacto ambiental</x:v>
      </x:c>
      <x:c r="D78" s="26" t="n">
        <x:v>0</x:v>
      </x:c>
      <x:c r="E78" s="26" t="n">
        <x:v>0</x:v>
      </x:c>
      <x:c r="F78" s="26" t="n">
        <x:v>0</x:v>
      </x:c>
      <x:c r="G78" s="26" t="n">
        <x:v>0</x:v>
      </x:c>
      <x:c r="H78" s="26" t="n">
        <x:v>0</x:v>
      </x:c>
      <x:c r="I78" s="26" t="str">
        <x:v>Solo evidencia declarada; la ausencia de datos no se interpreta como ausencia formativa real.</x:v>
      </x:c>
    </x:row>
    <x:row r="79">
      <x:c r="A79" s="26" t="str">
        <x:v>A11</x:v>
      </x:c>
      <x:c r="B79" s="26" t="str">
        <x:v>F1102</x:v>
      </x:c>
      <x:c r="C79" s="26" t="str">
        <x:v>Análisis de ciclo de vida y ecodiseño</x:v>
      </x:c>
      <x:c r="D79" s="26" t="n">
        <x:v>0</x:v>
      </x:c>
      <x:c r="E79" s="26" t="n">
        <x:v>0</x:v>
      </x:c>
      <x:c r="F79" s="26" t="n">
        <x:v>0</x:v>
      </x:c>
      <x:c r="G79" s="26" t="n">
        <x:v>0</x:v>
      </x:c>
      <x:c r="H79" s="26" t="n">
        <x:v>0</x:v>
      </x:c>
      <x:c r="I79" s="26" t="str">
        <x:v>Solo evidencia declarada; la ausencia de datos no se interpreta como ausencia formativa real.</x:v>
      </x:c>
    </x:row>
    <x:row r="80">
      <x:c r="A80" s="26" t="str">
        <x:v>A11</x:v>
      </x:c>
      <x:c r="B80" s="26" t="str">
        <x:v>F1103</x:v>
      </x:c>
      <x:c r="C80" s="26" t="str">
        <x:v>Residuos, subproductos y valorización</x:v>
      </x:c>
      <x:c r="D80" s="26" t="n">
        <x:v>0</x:v>
      </x:c>
      <x:c r="E80" s="26" t="n">
        <x:v>0</x:v>
      </x:c>
      <x:c r="F80" s="26" t="n">
        <x:v>0</x:v>
      </x:c>
      <x:c r="G80" s="26" t="n">
        <x:v>0</x:v>
      </x:c>
      <x:c r="H80" s="26" t="n">
        <x:v>0</x:v>
      </x:c>
      <x:c r="I80" s="26" t="str">
        <x:v>Solo evidencia declarada; la ausencia de datos no se interpreta como ausencia formativa real.</x:v>
      </x:c>
    </x:row>
    <x:row r="81">
      <x:c r="A81" s="26" t="str">
        <x:v>A11</x:v>
      </x:c>
      <x:c r="B81" s="26" t="str">
        <x:v>F1104</x:v>
      </x:c>
      <x:c r="C81" s="26" t="str">
        <x:v>Tratamiento de aguas y efluentes</x:v>
      </x:c>
      <x:c r="D81" s="26" t="n">
        <x:v>0</x:v>
      </x:c>
      <x:c r="E81" s="26" t="n">
        <x:v>0</x:v>
      </x:c>
      <x:c r="F81" s="26" t="n">
        <x:v>0</x:v>
      </x:c>
      <x:c r="G81" s="26" t="n">
        <x:v>0</x:v>
      </x:c>
      <x:c r="H81" s="26" t="n">
        <x:v>0</x:v>
      </x:c>
      <x:c r="I81" s="26" t="str">
        <x:v>Solo evidencia declarada; la ausencia de datos no se interpreta como ausencia formativa real.</x:v>
      </x:c>
    </x:row>
    <x:row r="82">
      <x:c r="A82" s="26" t="str">
        <x:v>A11</x:v>
      </x:c>
      <x:c r="B82" s="26" t="str">
        <x:v>F1105</x:v>
      </x:c>
      <x:c r="C82" s="26" t="str">
        <x:v>Sostenibilidad y economía circular</x:v>
      </x:c>
      <x:c r="D82" s="26" t="n">
        <x:v>0</x:v>
      </x:c>
      <x:c r="E82" s="26" t="n">
        <x:v>0</x:v>
      </x:c>
      <x:c r="F82" s="26" t="n">
        <x:v>0</x:v>
      </x:c>
      <x:c r="G82" s="26" t="n">
        <x:v>0</x:v>
      </x:c>
      <x:c r="H82" s="26" t="n">
        <x:v>0</x:v>
      </x:c>
      <x:c r="I82" s="26" t="str">
        <x:v>Solo evidencia declarada; la ausencia de datos no se interpreta como ausencia formativa real.</x:v>
      </x:c>
    </x:row>
    <x:row r="83">
      <x:c r="A83" s="26" t="str">
        <x:v>A11</x:v>
      </x:c>
      <x:c r="B83" s="26" t="str">
        <x:v>F1106</x:v>
      </x:c>
      <x:c r="C83" s="26" t="str">
        <x:v>Bioenergía, biomasa y energía ambiental</x:v>
      </x:c>
      <x:c r="D83" s="26" t="n">
        <x:v>0</x:v>
      </x:c>
      <x:c r="E83" s="26" t="n">
        <x:v>0</x:v>
      </x:c>
      <x:c r="F83" s="26" t="n">
        <x:v>0</x:v>
      </x:c>
      <x:c r="G83" s="26" t="n">
        <x:v>0</x:v>
      </x:c>
      <x:c r="H83" s="26" t="n">
        <x:v>0</x:v>
      </x:c>
      <x:c r="I83" s="26" t="str">
        <x:v>Solo evidencia declarada; la ausencia de datos no se interpreta como ausencia formativa real.</x:v>
      </x:c>
    </x:row>
    <x:row r="84">
      <x:c r="A84" s="26" t="str">
        <x:v>A12</x:v>
      </x:c>
      <x:c r="B84" s="26" t="str">
        <x:v>F1201</x:v>
      </x:c>
      <x:c r="C84" s="26" t="str">
        <x:v>Economía y sistemas agroalimentarios</x:v>
      </x:c>
      <x:c r="D84" s="26" t="n">
        <x:v>0</x:v>
      </x:c>
      <x:c r="E84" s="26" t="n">
        <x:v>0</x:v>
      </x:c>
      <x:c r="F84" s="26" t="n">
        <x:v>0</x:v>
      </x:c>
      <x:c r="G84" s="26" t="n">
        <x:v>0</x:v>
      </x:c>
      <x:c r="H84" s="26" t="n">
        <x:v>0</x:v>
      </x:c>
      <x:c r="I84" s="26" t="str">
        <x:v>Solo evidencia declarada; la ausencia de datos no se interpreta como ausencia formativa real.</x:v>
      </x:c>
    </x:row>
    <x:row r="85">
      <x:c r="A85" s="26" t="str">
        <x:v>A12</x:v>
      </x:c>
      <x:c r="B85" s="26" t="str">
        <x:v>F1202</x:v>
      </x:c>
      <x:c r="C85" s="26" t="str">
        <x:v>Administración y gestión empresarial</x:v>
      </x:c>
      <x:c r="D85" s="26" t="n">
        <x:v>0</x:v>
      </x:c>
      <x:c r="E85" s="26" t="n">
        <x:v>0</x:v>
      </x:c>
      <x:c r="F85" s="26" t="n">
        <x:v>0</x:v>
      </x:c>
      <x:c r="G85" s="26" t="n">
        <x:v>0</x:v>
      </x:c>
      <x:c r="H85" s="26" t="n">
        <x:v>0</x:v>
      </x:c>
      <x:c r="I85" s="26" t="str">
        <x:v>Solo evidencia declarada; la ausencia de datos no se interpreta como ausencia formativa real.</x:v>
      </x:c>
    </x:row>
    <x:row r="86">
      <x:c r="A86" s="26" t="str">
        <x:v>A12</x:v>
      </x:c>
      <x:c r="B86" s="26" t="str">
        <x:v>F1203</x:v>
      </x:c>
      <x:c r="C86" s="26" t="str">
        <x:v>Costos, valoración y finanzas</x:v>
      </x:c>
      <x:c r="D86" s="26" t="n">
        <x:v>0</x:v>
      </x:c>
      <x:c r="E86" s="26" t="n">
        <x:v>0</x:v>
      </x:c>
      <x:c r="F86" s="26" t="n">
        <x:v>0</x:v>
      </x:c>
      <x:c r="G86" s="26" t="n">
        <x:v>0</x:v>
      </x:c>
      <x:c r="H86" s="26" t="n">
        <x:v>0</x:v>
      </x:c>
      <x:c r="I86" s="26" t="str">
        <x:v>Solo evidencia declarada; la ausencia de datos no se interpreta como ausencia formativa real.</x:v>
      </x:c>
    </x:row>
    <x:row r="87">
      <x:c r="A87" s="26" t="str">
        <x:v>A12</x:v>
      </x:c>
      <x:c r="B87" s="26" t="str">
        <x:v>F1204</x:v>
      </x:c>
      <x:c r="C87" s="26" t="str">
        <x:v>Marketing y comercialización</x:v>
      </x:c>
      <x:c r="D87" s="26" t="n">
        <x:v>0</x:v>
      </x:c>
      <x:c r="E87" s="26" t="n">
        <x:v>0</x:v>
      </x:c>
      <x:c r="F87" s="26" t="n">
        <x:v>0</x:v>
      </x:c>
      <x:c r="G87" s="26" t="n">
        <x:v>0</x:v>
      </x:c>
      <x:c r="H87" s="26" t="n">
        <x:v>0</x:v>
      </x:c>
      <x:c r="I87" s="26" t="str">
        <x:v>Solo evidencia declarada; la ausencia de datos no se interpreta como ausencia formativa real.</x:v>
      </x:c>
    </x:row>
    <x:row r="88">
      <x:c r="A88" s="26" t="str">
        <x:v>A12</x:v>
      </x:c>
      <x:c r="B88" s="26" t="str">
        <x:v>F1205</x:v>
      </x:c>
      <x:c r="C88" s="26" t="str">
        <x:v>Logística y supply chain</x:v>
      </x:c>
      <x:c r="D88" s="26" t="n">
        <x:v>0</x:v>
      </x:c>
      <x:c r="E88" s="26" t="n">
        <x:v>0</x:v>
      </x:c>
      <x:c r="F88" s="26" t="n">
        <x:v>0</x:v>
      </x:c>
      <x:c r="G88" s="26" t="n">
        <x:v>0</x:v>
      </x:c>
      <x:c r="H88" s="26" t="n">
        <x:v>0</x:v>
      </x:c>
      <x:c r="I88" s="26" t="str">
        <x:v>Solo evidencia declarada; la ausencia de datos no se interpreta como ausencia formativa real.</x:v>
      </x:c>
    </x:row>
    <x:row r="89">
      <x:c r="A89" s="26" t="str">
        <x:v>A12</x:v>
      </x:c>
      <x:c r="B89" s="26" t="str">
        <x:v>F1206</x:v>
      </x:c>
      <x:c r="C89" s="26" t="str">
        <x:v>Gestión de producción y operaciones</x:v>
      </x:c>
      <x:c r="D89" s="26" t="n">
        <x:v>0</x:v>
      </x:c>
      <x:c r="E89" s="26" t="n">
        <x:v>0</x:v>
      </x:c>
      <x:c r="F89" s="26" t="n">
        <x:v>0</x:v>
      </x:c>
      <x:c r="G89" s="26" t="n">
        <x:v>0</x:v>
      </x:c>
      <x:c r="H89" s="26" t="n">
        <x:v>0</x:v>
      </x:c>
      <x:c r="I89" s="26" t="str">
        <x:v>Solo evidencia declarada; la ausencia de datos no se interpreta como ausencia formativa real.</x:v>
      </x:c>
    </x:row>
    <x:row r="90">
      <x:c r="A90" s="26" t="str">
        <x:v>A12</x:v>
      </x:c>
      <x:c r="B90" s="26" t="str">
        <x:v>F1207</x:v>
      </x:c>
      <x:c r="C90" s="26" t="str">
        <x:v>Gestión de proyectos</x:v>
      </x:c>
      <x:c r="D90" s="26" t="n">
        <x:v>0</x:v>
      </x:c>
      <x:c r="E90" s="26" t="n">
        <x:v>0</x:v>
      </x:c>
      <x:c r="F90" s="26" t="n">
        <x:v>0</x:v>
      </x:c>
      <x:c r="G90" s="26" t="n">
        <x:v>0</x:v>
      </x:c>
      <x:c r="H90" s="26" t="n">
        <x:v>0</x:v>
      </x:c>
      <x:c r="I90" s="26" t="str">
        <x:v>Solo evidencia declarada; la ausencia de datos no se interpreta como ausencia formativa real.</x:v>
      </x:c>
    </x:row>
    <x:row r="91">
      <x:c r="A91" s="26" t="str">
        <x:v>A12</x:v>
      </x:c>
      <x:c r="B91" s="26" t="str">
        <x:v>F1208</x:v>
      </x:c>
      <x:c r="C91" s="26" t="str">
        <x:v>Emprendimiento y modelos de negocio</x:v>
      </x:c>
      <x:c r="D91" s="26" t="n">
        <x:v>0</x:v>
      </x:c>
      <x:c r="E91" s="26" t="n">
        <x:v>0</x:v>
      </x:c>
      <x:c r="F91" s="26" t="n">
        <x:v>0</x:v>
      </x:c>
      <x:c r="G91" s="26" t="n">
        <x:v>0</x:v>
      </x:c>
      <x:c r="H91" s="26" t="n">
        <x:v>0</x:v>
      </x:c>
      <x:c r="I91" s="26" t="str">
        <x:v>Solo evidencia declarada; la ausencia de datos no se interpreta como ausencia formativa real.</x:v>
      </x:c>
    </x:row>
    <x:row r="92">
      <x:c r="A92" s="26" t="str">
        <x:v>A13</x:v>
      </x:c>
      <x:c r="B92" s="26" t="str">
        <x:v>F1301</x:v>
      </x:c>
      <x:c r="C92" s="26" t="str">
        <x:v>Nutrición humana y dietética</x:v>
      </x:c>
      <x:c r="D92" s="26" t="n">
        <x:v>1</x:v>
      </x:c>
      <x:c r="E92" s="26" t="n">
        <x:v>1</x:v>
      </x:c>
      <x:c r="F92" s="26" t="n">
        <x:v>0</x:v>
      </x:c>
      <x:c r="G92" s="26" t="n">
        <x:v>1</x:v>
      </x:c>
      <x:c r="H92" s="26" t="n">
        <x:v>0</x:v>
      </x:c>
      <x:c r="I92" s="26" t="str">
        <x:v>Solo evidencia declarada; la ausencia de datos no se interpreta como ausencia formativa real.</x:v>
      </x:c>
    </x:row>
    <x:row r="93">
      <x:c r="A93" s="26" t="str">
        <x:v>A13</x:v>
      </x:c>
      <x:c r="B93" s="26" t="str">
        <x:v>F1302</x:v>
      </x:c>
      <x:c r="C93" s="26" t="str">
        <x:v>Alimentación y salud / alimentos funcionales</x:v>
      </x:c>
      <x:c r="D93" s="26" t="n">
        <x:v>1</x:v>
      </x:c>
      <x:c r="E93" s="26" t="n">
        <x:v>1</x:v>
      </x:c>
      <x:c r="F93" s="26" t="n">
        <x:v>0</x:v>
      </x:c>
      <x:c r="G93" s="26" t="n">
        <x:v>1</x:v>
      </x:c>
      <x:c r="H93" s="26" t="n">
        <x:v>1</x:v>
      </x:c>
      <x:c r="I93" s="26" t="str">
        <x:v>Solo evidencia declarada; la ausencia de datos no se interpreta como ausencia formativa real.</x:v>
      </x:c>
    </x:row>
    <x:row r="94">
      <x:c r="A94" s="26" t="str">
        <x:v>A13</x:v>
      </x:c>
      <x:c r="B94" s="26" t="str">
        <x:v>F1303</x:v>
      </x:c>
      <x:c r="C94" s="26" t="str">
        <x:v>Ciencia sensorial y del consumidor</x:v>
      </x:c>
      <x:c r="D94" s="26" t="n">
        <x:v>0</x:v>
      </x:c>
      <x:c r="E94" s="26" t="n">
        <x:v>0</x:v>
      </x:c>
      <x:c r="F94" s="26" t="n">
        <x:v>0</x:v>
      </x:c>
      <x:c r="G94" s="26" t="n">
        <x:v>0</x:v>
      </x:c>
      <x:c r="H94" s="26" t="n">
        <x:v>0</x:v>
      </x:c>
      <x:c r="I94" s="26" t="str">
        <x:v>Solo evidencia declarada; la ausencia de datos no se interpreta como ausencia formativa real.</x:v>
      </x:c>
    </x:row>
    <x:row r="95">
      <x:c r="A95" s="26" t="str">
        <x:v>A14</x:v>
      </x:c>
      <x:c r="B95" s="26" t="str">
        <x:v>F1401</x:v>
      </x:c>
      <x:c r="C95" s="26" t="str">
        <x:v>Desarrollo e innovación de productos alimentarios</x:v>
      </x:c>
      <x:c r="D95" s="26" t="n">
        <x:v>2</x:v>
      </x:c>
      <x:c r="E95" s="26" t="n">
        <x:v>2</x:v>
      </x:c>
      <x:c r="F95" s="26" t="n">
        <x:v>0</x:v>
      </x:c>
      <x:c r="G95" s="26" t="n">
        <x:v>2</x:v>
      </x:c>
      <x:c r="H95" s="26" t="n">
        <x:v>0</x:v>
      </x:c>
      <x:c r="I95" s="26" t="str">
        <x:v>Solo evidencia declarada; la ausencia de datos no se interpreta como ausencia formativa real.</x:v>
      </x:c>
    </x:row>
    <x:row r="96">
      <x:c r="A96" s="26" t="str">
        <x:v>A14</x:v>
      </x:c>
      <x:c r="B96" s="26" t="str">
        <x:v>F1402</x:v>
      </x:c>
      <x:c r="C96" s="26" t="str">
        <x:v>Formulación avanzada orientada a innovación</x:v>
      </x:c>
      <x:c r="D96" s="26" t="n">
        <x:v>0</x:v>
      </x:c>
      <x:c r="E96" s="26" t="n">
        <x:v>0</x:v>
      </x:c>
      <x:c r="F96" s="26" t="n">
        <x:v>0</x:v>
      </x:c>
      <x:c r="G96" s="26" t="n">
        <x:v>0</x:v>
      </x:c>
      <x:c r="H96" s="26" t="n">
        <x:v>0</x:v>
      </x:c>
      <x:c r="I96" s="26" t="str">
        <x:v>Solo evidencia declarada; la ausencia de datos no se interpreta como ausencia formativa real.</x:v>
      </x:c>
    </x:row>
    <x:row r="97">
      <x:c r="A97" s="26" t="str">
        <x:v>A14</x:v>
      </x:c>
      <x:c r="B97" s="26" t="str">
        <x:v>F1403</x:v>
      </x:c>
      <x:c r="C97" s="26" t="str">
        <x:v>Investigación y desarrollo aplicado</x:v>
      </x:c>
      <x:c r="D97" s="26" t="n">
        <x:v>0</x:v>
      </x:c>
      <x:c r="E97" s="26" t="n">
        <x:v>0</x:v>
      </x:c>
      <x:c r="F97" s="26" t="n">
        <x:v>0</x:v>
      </x:c>
      <x:c r="G97" s="26" t="n">
        <x:v>0</x:v>
      </x:c>
      <x:c r="H97" s="26" t="n">
        <x:v>0</x:v>
      </x:c>
      <x:c r="I97" s="26" t="str">
        <x:v>Solo evidencia declarada; la ausencia de datos no se interpreta como ausencia formativa real.</x:v>
      </x:c>
    </x:row>
    <x:row r="98">
      <x:c r="A98" s="26" t="str">
        <x:v>A14</x:v>
      </x:c>
      <x:c r="B98" s="26" t="str">
        <x:v>F1404</x:v>
      </x:c>
      <x:c r="C98" s="26" t="str">
        <x:v>Diseño experimental aplicado a I+D</x:v>
      </x:c>
      <x:c r="D98" s="26" t="n">
        <x:v>0</x:v>
      </x:c>
      <x:c r="E98" s="26" t="n">
        <x:v>0</x:v>
      </x:c>
      <x:c r="F98" s="26" t="n">
        <x:v>0</x:v>
      </x:c>
      <x:c r="G98" s="26" t="n">
        <x:v>0</x:v>
      </x:c>
      <x:c r="H98" s="26" t="n">
        <x:v>0</x:v>
      </x:c>
      <x:c r="I98" s="26" t="str">
        <x:v>Solo evidencia declarada; la ausencia de datos no se interpreta como ausencia formativa real.</x:v>
      </x:c>
    </x:row>
    <x:row r="99">
      <x:c r="A99" s="26" t="str">
        <x:v>A15</x:v>
      </x:c>
      <x:c r="B99" s="26" t="str">
        <x:v>F1501</x:v>
      </x:c>
      <x:c r="C99" s="26" t="str">
        <x:v>Proyecto de ingeniería / oficina técnica</x:v>
      </x:c>
      <x:c r="D99" s="26" t="n">
        <x:v>0</x:v>
      </x:c>
      <x:c r="E99" s="26" t="n">
        <x:v>0</x:v>
      </x:c>
      <x:c r="F99" s="26" t="n">
        <x:v>0</x:v>
      </x:c>
      <x:c r="G99" s="26" t="n">
        <x:v>0</x:v>
      </x:c>
      <x:c r="H99" s="26" t="n">
        <x:v>0</x:v>
      </x:c>
      <x:c r="I99" s="26" t="str">
        <x:v>Solo evidencia declarada; la ausencia de datos no se interpreta como ausencia formativa real.</x:v>
      </x:c>
    </x:row>
    <x:row r="100">
      <x:c r="A100" s="26" t="str">
        <x:v>A15</x:v>
      </x:c>
      <x:c r="B100" s="26" t="str">
        <x:v>F1502</x:v>
      </x:c>
      <x:c r="C100" s="26" t="str">
        <x:v>Proyecto integrador / capstone</x:v>
      </x:c>
      <x:c r="D100" s="26" t="n">
        <x:v>0</x:v>
      </x:c>
      <x:c r="E100" s="26" t="n">
        <x:v>0</x:v>
      </x:c>
      <x:c r="F100" s="26" t="n">
        <x:v>0</x:v>
      </x:c>
      <x:c r="G100" s="26" t="n">
        <x:v>0</x:v>
      </x:c>
      <x:c r="H100" s="26" t="n">
        <x:v>0</x:v>
      </x:c>
      <x:c r="I100" s="26" t="str">
        <x:v>Solo evidencia declarada; la ausencia de datos no se interpreta como ausencia formativa real.</x:v>
      </x:c>
    </x:row>
    <x:row r="101">
      <x:c r="A101" s="26" t="str">
        <x:v>A15</x:v>
      </x:c>
      <x:c r="B101" s="26" t="str">
        <x:v>F1503</x:v>
      </x:c>
      <x:c r="C101" s="26" t="str">
        <x:v>Trabajo Fin de Grado / Bachelor thesis</x:v>
      </x:c>
      <x:c r="D101" s="26" t="n">
        <x:v>1</x:v>
      </x:c>
      <x:c r="E101" s="26" t="n">
        <x:v>1</x:v>
      </x:c>
      <x:c r="F101" s="26" t="n">
        <x:v>1</x:v>
      </x:c>
      <x:c r="G101" s="26" t="n">
        <x:v>0</x:v>
      </x:c>
      <x:c r="H101" s="26" t="n">
        <x:v>1</x:v>
      </x:c>
      <x:c r="I101" s="26" t="str">
        <x:v>Solo evidencia declarada; la ausencia de datos no se interpreta como ausencia formativa real.</x:v>
      </x:c>
    </x:row>
    <x:row r="102">
      <x:c r="A102" s="26" t="str">
        <x:v>A15</x:v>
      </x:c>
      <x:c r="B102" s="26" t="str">
        <x:v>F1504</x:v>
      </x:c>
      <x:c r="C102" s="26" t="str">
        <x:v>Tesis / mémoire de investigación</x:v>
      </x:c>
      <x:c r="D102" s="26" t="n">
        <x:v>0</x:v>
      </x:c>
      <x:c r="E102" s="26" t="n">
        <x:v>0</x:v>
      </x:c>
      <x:c r="F102" s="26" t="n">
        <x:v>0</x:v>
      </x:c>
      <x:c r="G102" s="26" t="n">
        <x:v>0</x:v>
      </x:c>
      <x:c r="H102" s="26" t="n">
        <x:v>0</x:v>
      </x:c>
      <x:c r="I102" s="26" t="str">
        <x:v>Solo evidencia declarada; la ausencia de datos no se interpreta como ausencia formativa real.</x:v>
      </x:c>
    </x:row>
    <x:row r="103">
      <x:c r="A103" s="26" t="str">
        <x:v>A15</x:v>
      </x:c>
      <x:c r="B103" s="26" t="str">
        <x:v>F1505</x:v>
      </x:c>
      <x:c r="C103" s="26" t="str">
        <x:v>Práctica externa / internship / stage</x:v>
      </x:c>
      <x:c r="D103" s="26" t="n">
        <x:v>0</x:v>
      </x:c>
      <x:c r="E103" s="26" t="n">
        <x:v>0</x:v>
      </x:c>
      <x:c r="F103" s="26" t="n">
        <x:v>0</x:v>
      </x:c>
      <x:c r="G103" s="26" t="n">
        <x:v>0</x:v>
      </x:c>
      <x:c r="H103" s="26" t="n">
        <x:v>0</x:v>
      </x:c>
      <x:c r="I103" s="26" t="str">
        <x:v>Solo evidencia declarada; la ausencia de datos no se interpreta como ausencia formativa real.</x:v>
      </x:c>
    </x:row>
    <x:row r="104">
      <x:c r="A104" s="26" t="str">
        <x:v>A15</x:v>
      </x:c>
      <x:c r="B104" s="26" t="str">
        <x:v>F1506</x:v>
      </x:c>
      <x:c r="C104" s="26" t="str">
        <x:v>Stage final / misión de ingeniero</x:v>
      </x:c>
      <x:c r="D104" s="26" t="n">
        <x:v>0</x:v>
      </x:c>
      <x:c r="E104" s="26" t="n">
        <x:v>0</x:v>
      </x:c>
      <x:c r="F104" s="26" t="n">
        <x:v>0</x:v>
      </x:c>
      <x:c r="G104" s="26" t="n">
        <x:v>0</x:v>
      </x:c>
      <x:c r="H104" s="26" t="n">
        <x:v>0</x:v>
      </x:c>
      <x:c r="I104" s="26" t="str">
        <x:v>Solo evidencia declarada; la ausencia de datos no se interpreta como ausencia formativa real.</x:v>
      </x:c>
    </x:row>
    <x:row r="105">
      <x:c r="A105" s="26" t="str">
        <x:v>A15</x:v>
      </x:c>
      <x:c r="B105" s="26" t="str">
        <x:v>F1507</x:v>
      </x:c>
      <x:c r="C105" s="26" t="str">
        <x:v>Taller / laboratorio integrador / proyecto práctico</x:v>
      </x:c>
      <x:c r="D105" s="26" t="n">
        <x:v>0</x:v>
      </x:c>
      <x:c r="E105" s="26" t="n">
        <x:v>0</x:v>
      </x:c>
      <x:c r="F105" s="26" t="n">
        <x:v>0</x:v>
      </x:c>
      <x:c r="G105" s="26" t="n">
        <x:v>0</x:v>
      </x:c>
      <x:c r="H105" s="26" t="n">
        <x:v>0</x:v>
      </x:c>
      <x:c r="I105" s="26" t="str">
        <x:v>Solo evidencia declarada; la ausencia de datos no se interpreta como ausencia formativa real.</x:v>
      </x:c>
    </x:row>
    <x:row r="106">
      <x:c r="A106" s="26" t="str">
        <x:v>A15</x:v>
      </x:c>
      <x:c r="B106" s="26" t="str">
        <x:v>F1508</x:v>
      </x:c>
      <x:c r="C106" s="26" t="str">
        <x:v>Movilidad y experiencia internacional</x:v>
      </x:c>
      <x:c r="D106" s="26" t="n">
        <x:v>0</x:v>
      </x:c>
      <x:c r="E106" s="26" t="n">
        <x:v>0</x:v>
      </x:c>
      <x:c r="F106" s="26" t="n">
        <x:v>0</x:v>
      </x:c>
      <x:c r="G106" s="26" t="n">
        <x:v>0</x:v>
      </x:c>
      <x:c r="H106" s="26" t="n">
        <x:v>0</x:v>
      </x:c>
      <x:c r="I106" s="26" t="str">
        <x:v>Solo evidencia declarada; la ausencia de datos no se interpreta como ausencia formativa real.</x:v>
      </x:c>
    </x:row>
    <x:row r="107">
      <x:c r="A107" s="26" t="str">
        <x:v>A16</x:v>
      </x:c>
      <x:c r="B107" s="26" t="str">
        <x:v>F1601</x:v>
      </x:c>
      <x:c r="C107" s="26" t="str">
        <x:v>Idioma extranjero</x:v>
      </x:c>
      <x:c r="D107" s="26" t="n">
        <x:v>0</x:v>
      </x:c>
      <x:c r="E107" s="26" t="n">
        <x:v>0</x:v>
      </x:c>
      <x:c r="F107" s="26" t="n">
        <x:v>0</x:v>
      </x:c>
      <x:c r="G107" s="26" t="n">
        <x:v>0</x:v>
      </x:c>
      <x:c r="H107" s="26" t="n">
        <x:v>0</x:v>
      </x:c>
      <x:c r="I107" s="26" t="str">
        <x:v>Solo evidencia declarada; la ausencia de datos no se interpreta como ausencia formativa real.</x:v>
      </x:c>
    </x:row>
    <x:row r="108">
      <x:c r="A108" s="26" t="str">
        <x:v>A16</x:v>
      </x:c>
      <x:c r="B108" s="26" t="str">
        <x:v>F1602</x:v>
      </x:c>
      <x:c r="C108" s="26" t="str">
        <x:v>Comunicación académica y profesional</x:v>
      </x:c>
      <x:c r="D108" s="26" t="n">
        <x:v>0</x:v>
      </x:c>
      <x:c r="E108" s="26" t="n">
        <x:v>0</x:v>
      </x:c>
      <x:c r="F108" s="26" t="n">
        <x:v>0</x:v>
      </x:c>
      <x:c r="G108" s="26" t="n">
        <x:v>0</x:v>
      </x:c>
      <x:c r="H108" s="26" t="n">
        <x:v>0</x:v>
      </x:c>
      <x:c r="I108" s="26" t="str">
        <x:v>Solo evidencia declarada; la ausencia de datos no se interpreta como ausencia formativa real.</x:v>
      </x:c>
    </x:row>
    <x:row r="109">
      <x:c r="A109" s="26" t="str">
        <x:v>A16</x:v>
      </x:c>
      <x:c r="B109" s="26" t="str">
        <x:v>F1603</x:v>
      </x:c>
      <x:c r="C109" s="26" t="str">
        <x:v>Ética, responsabilidad y desarrollo profesional</x:v>
      </x:c>
      <x:c r="D109" s="26" t="n">
        <x:v>1</x:v>
      </x:c>
      <x:c r="E109" s="26" t="n">
        <x:v>1</x:v>
      </x:c>
      <x:c r="F109" s="26" t="n">
        <x:v>0</x:v>
      </x:c>
      <x:c r="G109" s="26" t="n">
        <x:v>1</x:v>
      </x:c>
      <x:c r="H109" s="26" t="n">
        <x:v>0</x:v>
      </x:c>
      <x:c r="I109" s="26" t="str">
        <x:v>Solo evidencia declarada; la ausencia de datos no se interpreta como ausencia formativa real.</x:v>
      </x:c>
    </x:row>
    <x:row r="110">
      <x:c r="A110" s="26" t="str">
        <x:v>A16</x:v>
      </x:c>
      <x:c r="B110" s="26" t="str">
        <x:v>F1604</x:v>
      </x:c>
      <x:c r="C110" s="26" t="str">
        <x:v>Propiedad intelectual y regulación profesional general</x:v>
      </x:c>
      <x:c r="D110" s="26" t="n">
        <x:v>0</x:v>
      </x:c>
      <x:c r="E110" s="26" t="n">
        <x:v>0</x:v>
      </x:c>
      <x:c r="F110" s="26" t="n">
        <x:v>0</x:v>
      </x:c>
      <x:c r="G110" s="26" t="n">
        <x:v>0</x:v>
      </x:c>
      <x:c r="H110" s="26" t="n">
        <x:v>0</x:v>
      </x:c>
      <x:c r="I110" s="26" t="str">
        <x:v>Solo evidencia declarada; la ausencia de datos no se interpreta como ausencia formativa real.</x:v>
      </x:c>
    </x:row>
    <x:row r="111">
      <x:c r="A111" s="26" t="str">
        <x:v>A16</x:v>
      </x:c>
      <x:c r="B111" s="26" t="str">
        <x:v>F1605</x:v>
      </x:c>
      <x:c r="C111" s="26" t="str">
        <x:v>Documentación y alfabetización informacional</x:v>
      </x:c>
      <x:c r="D111" s="26" t="n">
        <x:v>0</x:v>
      </x:c>
      <x:c r="E111" s="26" t="n">
        <x:v>0</x:v>
      </x:c>
      <x:c r="F111" s="26" t="n">
        <x:v>0</x:v>
      </x:c>
      <x:c r="G111" s="26" t="n">
        <x:v>0</x:v>
      </x:c>
      <x:c r="H111" s="26" t="n">
        <x:v>0</x:v>
      </x:c>
      <x:c r="I111" s="26" t="str">
        <x:v>Solo evidencia declarada; la ausencia de datos no se interpreta como ausencia formativa real.</x:v>
      </x:c>
    </x:row>
    <x:row r="112">
      <x:c r="A112" s="26" t="str">
        <x:v>A16</x:v>
      </x:c>
      <x:c r="B112" s="26" t="str">
        <x:v>F1606</x:v>
      </x:c>
      <x:c r="C112" s="26" t="str">
        <x:v>Humanidades, deporte y formación general</x:v>
      </x:c>
      <x:c r="D112" s="26" t="n">
        <x:v>0</x:v>
      </x:c>
      <x:c r="E112" s="26" t="n">
        <x:v>0</x:v>
      </x:c>
      <x:c r="F112" s="26" t="n">
        <x:v>0</x:v>
      </x:c>
      <x:c r="G112" s="26" t="n">
        <x:v>0</x:v>
      </x:c>
      <x:c r="H112" s="26" t="n">
        <x:v>0</x:v>
      </x:c>
      <x:c r="I112" s="26" t="str">
        <x:v>Solo evidencia declarada; la ausencia de datos no se interpreta como ausencia formativa real.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46" hidden="0" customWidth="1"/>
    <x:col min="4" max="4" width="18" hidden="0" customWidth="1"/>
    <x:col min="5" max="5" width="18" hidden="0" customWidth="1"/>
    <x:col min="6" max="6" width="18" hidden="0" customWidth="1"/>
    <x:col min="7" max="7" width="60" hidden="0" customWidth="1"/>
    <x:col min="8" max="8" width="60" hidden="0" customWidth="1"/>
  </x:cols>
  <x:sheetData>
    <x:row r="1">
      <x:c r="A1" s="14" t="str">
        <x:v>Codigo_Dataset</x:v>
      </x:c>
      <x:c r="B1" s="14" t="str">
        <x:v>ID_Asignatura</x:v>
      </x:c>
      <x:c r="C1" s="14" t="str">
        <x:v>Nombre_original</x:v>
      </x:c>
      <x:c r="D1" s="14" t="str">
        <x:v>Area_Final_ID</x:v>
      </x:c>
      <x:c r="E1" s="14" t="str">
        <x:v>Familia_Final_ID</x:v>
      </x:c>
      <x:c r="F1" s="14" t="str">
        <x:v>ID_Hallazgo</x:v>
      </x:c>
      <x:c r="G1" s="14" t="str">
        <x:v>Nota_Auditoria</x:v>
      </x:c>
      <x:c r="H1" s="14" t="str">
        <x:v>Regla_Comparativa</x:v>
      </x:c>
    </x:row>
    <x:row r="2">
      <x:c r="A2" s="26" t="str">
        <x:v>UPM</x:v>
      </x:c>
      <x:c r="B2" s="26" t="str">
        <x:v>UPM_20IA_2026_27_ASIG002</x:v>
      </x:c>
      <x:c r="C2" s="26" t="str">
        <x:v>Expresión Gráfica</x:v>
      </x:c>
      <x:c r="D2" s="26" t="str">
        <x:v>A04</x:v>
      </x:c>
      <x:c r="E2" s="26" t="str">
        <x:v>NR</x:v>
      </x:c>
      <x:c r="F2" s="26" t="str">
        <x:v>GAP01</x:v>
      </x:c>
      <x:c r="G2" s="26" t="str">
        <x:v>Dibujo/expresión gráfica de ingeniería sin familia específica</x:v>
      </x:c>
      <x:c r="H2" s="26" t="str">
        <x:v>Excluida de métricas de familia hasta resolver la normalización; permanece en el currículo original.</x:v>
      </x:c>
    </x:row>
    <x:row r="3">
      <x:c r="A3" s="26" t="str">
        <x:v>UPM</x:v>
      </x:c>
      <x:c r="B3" s="26" t="str">
        <x:v>UPM_20IA_2026_27_ASIG049</x:v>
      </x:c>
      <x:c r="C3" s="26" t="str">
        <x:v>Materiales en la Industria Alimentaria</x:v>
      </x:c>
      <x:c r="D3" s="26" t="str">
        <x:v>A04</x:v>
      </x:c>
      <x:c r="E3" s="26" t="str">
        <x:v>NR</x:v>
      </x:c>
      <x:c r="F3" s="26" t="str">
        <x:v>GAP08</x:v>
      </x:c>
      <x:c r="G3" s="26" t="str">
        <x:v>Materiales en industria alimentaria: no distingue materiales de proceso vs envase</x:v>
      </x:c>
      <x:c r="H3" s="26" t="str">
        <x:v>Excluida de métricas de familia hasta resolver la normalización; permanece en el currículo original.</x:v>
      </x:c>
    </x:row>
    <x:row r="4">
      <x:c r="A4" s="26" t="str">
        <x:v>USAL</x:v>
      </x:c>
      <x:c r="B4" s="26" t="str">
        <x:v>USAL_GRADO_EN_INGENIER_A_AGROALIMENTARIA_P_ASIG005</x:v>
      </x:c>
      <x:c r="C4" s="26" t="str">
        <x:v>Expresión Gráfica</x:v>
      </x:c>
      <x:c r="D4" s="26" t="str">
        <x:v>A04</x:v>
      </x:c>
      <x:c r="E4" s="26" t="str">
        <x:v>NR</x:v>
      </x:c>
      <x:c r="F4" s="26" t="str">
        <x:v>GAP01</x:v>
      </x:c>
      <x:c r="G4" s="26" t="str">
        <x:v>Dibujo/expresión gráfica de ingeniería sin familia específica</x:v>
      </x:c>
      <x:c r="H4" s="26" t="str">
        <x:v>Excluida de métricas de familia hasta resolver la normalización; permanece en el currículo original.</x:v>
      </x:c>
    </x:row>
    <x:row r="5">
      <x:c r="A5" s="26" t="str">
        <x:v>UPC</x:v>
      </x:c>
      <x:c r="B5" s="26" t="str">
        <x:v>UPC_GRAU_EN_ENGINYERIA_ALIMENT_RIA_EEABB_P_ASIG002</x:v>
      </x:c>
      <x:c r="C5" s="26" t="str">
        <x:v>Dibuix en l'Enginyeria</x:v>
      </x:c>
      <x:c r="D5" s="26" t="str">
        <x:v>A04</x:v>
      </x:c>
      <x:c r="E5" s="26" t="str">
        <x:v>NR</x:v>
      </x:c>
      <x:c r="F5" s="26" t="str">
        <x:v>GAP01</x:v>
      </x:c>
      <x:c r="G5" s="26" t="str">
        <x:v>Dibujo/expresión gráfica de ingeniería sin familia específica</x:v>
      </x:c>
      <x:c r="H5" s="26" t="str">
        <x:v>Excluida de métricas de familia hasta resolver la normalización; permanece en el currículo original.</x:v>
      </x:c>
    </x:row>
    <x:row r="6">
      <x:c r="A6" s="26" t="str">
        <x:v>UPC</x:v>
      </x:c>
      <x:c r="B6" s="26" t="str">
        <x:v>UPC_GRAU_EN_ENGINYERIA_ALIMENT_RIA_EEABB_P_ASIG042</x:v>
      </x:c>
      <x:c r="C6" s="26" t="str">
        <x:v>Estudi de Casos en Indústria Alimentària</x:v>
      </x:c>
      <x:c r="D6" s="26" t="str">
        <x:v>A15</x:v>
      </x:c>
      <x:c r="E6" s="26" t="str">
        <x:v>NR</x:v>
      </x:c>
      <x:c r="F6" s="26" t="str">
        <x:v>GAP06</x:v>
      </x:c>
      <x:c r="G6" s="26" t="str">
        <x:v>Estudio de casos en industria alimentaria: experiencia integradora no suficientemente definida</x:v>
      </x:c>
      <x:c r="H6" s="26" t="str">
        <x:v>Excluida de métricas de familia hasta resolver la normalización; permanece en el currículo original.</x:v>
      </x:c>
    </x:row>
    <x:row r="7">
      <x:c r="A7" s="26" t="str">
        <x:v>SEVILLA</x:v>
      </x:c>
      <x:c r="B7" s="26" t="str">
        <x:v>US_GRADO_EN_INGENIER_A_AGR_COLA_MENCI_N_EX_ASIG002</x:v>
      </x:c>
      <x:c r="C7" s="26" t="str">
        <x:v>Expresión Gráfica y Cartografía</x:v>
      </x:c>
      <x:c r="D7" s="26" t="str">
        <x:v>A04</x:v>
      </x:c>
      <x:c r="E7" s="26" t="str">
        <x:v>NR</x:v>
      </x:c>
      <x:c r="F7" s="26" t="str">
        <x:v>GAP01</x:v>
      </x:c>
      <x:c r="G7" s="26" t="str">
        <x:v>Dibujo/expresión gráfica de ingeniería sin familia específica</x:v>
      </x:c>
      <x:c r="H7" s="26" t="str">
        <x:v>Excluida de métricas de familia hasta resolver la normalización; permanece en el currículo original.</x:v>
      </x:c>
    </x:row>
    <x:row r="8">
      <x:c r="A8" s="26" t="str">
        <x:v>UCO</x:v>
      </x:c>
      <x:c r="B8" s="26" t="str">
        <x:v>UCO_GRADO_EN_INGENIER_A_AGROALIMENTARIA_Y_DEL_MEDIO_RUR_ASIG009</x:v>
      </x:c>
      <x:c r="C8" s="26" t="str">
        <x:v>Dibujo en Ingeniería</x:v>
      </x:c>
      <x:c r="D8" s="26" t="str">
        <x:v>A04</x:v>
      </x:c>
      <x:c r="E8" s="26" t="str">
        <x:v>NR</x:v>
      </x:c>
      <x:c r="F8" s="26" t="str">
        <x:v>GAP01</x:v>
      </x:c>
      <x:c r="G8" s="26" t="str">
        <x:v>Dibujo/expresión gráfica de ingeniería sin familia específica</x:v>
      </x:c>
      <x:c r="H8" s="26" t="str">
        <x:v>Excluida de métricas de familia hasta resolver la normalización; permanece en el currículo original.</x:v>
      </x:c>
    </x:row>
    <x:row r="9">
      <x:c r="A9" s="26" t="str">
        <x:v>UMH</x:v>
      </x:c>
      <x:c r="B9" s="26" t="str">
        <x:v>UMH_GRADO_EN_INGENIER_A_AGROALIMENTARIA_Y_AGROAMBIENTAL_ASIG008</x:v>
      </x:c>
      <x:c r="C9" s="26" t="str">
        <x:v>Expresión Gráfica</x:v>
      </x:c>
      <x:c r="D9" s="26" t="str">
        <x:v>A04</x:v>
      </x:c>
      <x:c r="E9" s="26" t="str">
        <x:v>NR</x:v>
      </x:c>
      <x:c r="F9" s="26" t="str">
        <x:v>GAP01</x:v>
      </x:c>
      <x:c r="G9" s="26" t="str">
        <x:v>Dibujo/expresión gráfica de ingeniería sin familia específica</x:v>
      </x:c>
      <x:c r="H9" s="26" t="str">
        <x:v>Excluida de métricas de familia hasta resolver la normalización; permanece en el currículo original.</x:v>
      </x:c>
    </x:row>
    <x:row r="10">
      <x:c r="A10" s="26" t="str">
        <x:v>ENSAIA</x:v>
      </x:c>
      <x:c r="B10" s="26" t="str">
        <x:v>ENSAIA_DIPL_ME_D_ING_NIEUR_ENSAIA_FILI_RE_INDUSTRIES_AL_ASIG052</x:v>
      </x:c>
      <x:c r="C10" s="26" t="str">
        <x:v>Sécurité, Sûreté des Systèmes Industriels</x:v>
      </x:c>
      <x:c r="D10" s="26" t="str">
        <x:v>A16</x:v>
      </x:c>
      <x:c r="E10" s="26" t="str">
        <x:v>NR</x:v>
      </x:c>
      <x:c r="F10" s="26" t="str">
        <x:v>GAP04</x:v>
      </x:c>
      <x:c r="G10" s="26" t="str">
        <x:v>Seguridad y sûreté de sistemas industriales no representada por una familia específica</x:v>
      </x:c>
      <x:c r="H10" s="26" t="str">
        <x:v>Excluida de métricas de familia hasta resolver la normalización; permanece en el currículo original.</x:v>
      </x:c>
    </x:row>
    <x:row r="11">
      <x:c r="A11" s="26" t="str">
        <x:v>IARA</x:v>
      </x:c>
      <x:c r="B11" s="26" t="str">
        <x:v>IARA_DIPL_ME_D_ING_NIEUR_EN_ALIMENTATION_OFERTA_VIGENTE_ASIG006</x:v>
      </x:c>
      <x:c r="C11" s="26" t="str">
        <x:v>Sciences de l'action</x:v>
      </x:c>
      <x:c r="D11" s="26" t="str">
        <x:v>A16</x:v>
      </x:c>
      <x:c r="E11" s="26" t="str">
        <x:v>NR</x:v>
      </x:c>
      <x:c r="F11" s="26" t="str">
        <x:v>GAP02</x:v>
      </x:c>
      <x:c r="G11" s="26" t="str">
        <x:v>Sciences de l'action sin definición disciplinar suficiente</x:v>
      </x:c>
      <x:c r="H11" s="26" t="str">
        <x:v>Excluida de métricas de familia hasta resolver la normalización; permanece en el currículo original.</x:v>
      </x:c>
    </x:row>
    <x:row r="12">
      <x:c r="A12" s="26" t="str">
        <x:v>IARA</x:v>
      </x:c>
      <x:c r="B12" s="26" t="str">
        <x:v>IARA_DIPL_ME_D_ING_NIEUR_EN_ALIMENTATION_OFERTA_VIGENTE_ASIG016</x:v>
      </x:c>
      <x:c r="C12" s="26" t="str">
        <x:v>Sciences de l'action (L2)</x:v>
      </x:c>
      <x:c r="D12" s="26" t="str">
        <x:v>A16</x:v>
      </x:c>
      <x:c r="E12" s="26" t="str">
        <x:v>NR</x:v>
      </x:c>
      <x:c r="F12" s="26" t="str">
        <x:v>GAP02</x:v>
      </x:c>
      <x:c r="G12" s="26" t="str">
        <x:v>Sciences de l'action sin definición disciplinar suficiente</x:v>
      </x:c>
      <x:c r="H12" s="26" t="str">
        <x:v>Excluida de métricas de familia hasta resolver la normalización; permanece en el currículo original.</x:v>
      </x:c>
    </x:row>
    <x:row r="13">
      <x:c r="A13" s="26" t="str">
        <x:v>IARA</x:v>
      </x:c>
      <x:c r="B13" s="26" t="str">
        <x:v>IARA_DIPL_ME_D_ING_NIEUR_EN_ALIMENTATION_OFERTA_VIGENTE_ASIG021</x:v>
      </x:c>
      <x:c r="C13" s="26" t="str">
        <x:v>Sciences de l'action (L3)</x:v>
      </x:c>
      <x:c r="D13" s="26" t="str">
        <x:v>A16</x:v>
      </x:c>
      <x:c r="E13" s="26" t="str">
        <x:v>NR</x:v>
      </x:c>
      <x:c r="F13" s="26" t="str">
        <x:v>GAP02</x:v>
      </x:c>
      <x:c r="G13" s="26" t="str">
        <x:v>Sciences de l'action sin definición disciplinar suficiente</x:v>
      </x:c>
      <x:c r="H13" s="26" t="str">
        <x:v>Excluida de métricas de familia hasta resolver la normalización; permanece en el currículo original.</x:v>
      </x:c>
    </x:row>
    <x:row r="14">
      <x:c r="A14" s="26" t="str">
        <x:v>ONIRIS</x:v>
      </x:c>
      <x:c r="B14" s="26" t="str">
        <x:v>ONIRIS_DIPL_ME_D_ING_NIEUR_ONIRIS_ORIENTATION_AGROALIME_ASIG009</x:v>
      </x:c>
      <x:c r="C14" s="26" t="str">
        <x:v>UE78 Teasing</x:v>
      </x:c>
      <x:c r="D14" s="26" t="str">
        <x:v>A00</x:v>
      </x:c>
      <x:c r="E14" s="26" t="str">
        <x:v>NR</x:v>
      </x:c>
      <x:c r="F14" s="26" t="str">
        <x:v>GAP05</x:v>
      </x:c>
      <x:c r="G14" s="26" t="str">
        <x:v>UE 'Teasing' sin significado disciplinar recuperable</x:v>
      </x:c>
      <x:c r="H14" s="26" t="str">
        <x:v>Excluida de métricas de familia hasta resolver la normalización; permanece en el currículo original.</x:v>
      </x:c>
    </x:row>
    <x:row r="15">
      <x:c r="A15" s="26" t="str">
        <x:v>PURPAN</x:v>
      </x:c>
      <x:c r="B15" s="26" t="str">
        <x:v>PURPAN_CURSUS_ING_NIEUR_PURPAN_ORIENTATION_AGROALIMENTA_ASIG005</x:v>
      </x:c>
      <x:c r="C15" s="26" t="str">
        <x:v>Notions fondamentales de l'agronomie et de l'agroalimentaire</x:v>
      </x:c>
      <x:c r="D15" s="26" t="str">
        <x:v>A00</x:v>
      </x:c>
      <x:c r="E15" s="26" t="str">
        <x:v>NR</x:v>
      </x:c>
      <x:c r="F15" s="26" t="str">
        <x:v>GAP07</x:v>
      </x:c>
      <x:c r="G15" s="26" t="str">
        <x:v>Curso de fundamentos combinados agronomía-agroalimentación sin familia dominante</x:v>
      </x:c>
      <x:c r="H15" s="26" t="str">
        <x:v>Excluida de métricas de familia hasta resolver la normalización; permanece en el currículo original.</x:v>
      </x:c>
    </x:row>
    <x:row r="16">
      <x:c r="A16" s="26" t="str">
        <x:v>PURPAN</x:v>
      </x:c>
      <x:c r="B16" s="26" t="str">
        <x:v>PURPAN_CURSUS_ING_NIEUR_PURPAN_ORIENTATION_AGROALIMENTA_ASIG012</x:v>
      </x:c>
      <x:c r="C16" s="26" t="str">
        <x:v>Sciences de l'ingénieur</x:v>
      </x:c>
      <x:c r="D16" s="26" t="str">
        <x:v>A04</x:v>
      </x:c>
      <x:c r="E16" s="26" t="str">
        <x:v>NR</x:v>
      </x:c>
      <x:c r="F16" s="26" t="str">
        <x:v>GAP03</x:v>
      </x:c>
      <x:c r="G16" s="26" t="str">
        <x:v>Ciencias/fundamentos generales de ingeniería sin familia específica</x:v>
      </x:c>
      <x:c r="H16" s="26" t="str">
        <x:v>Excluida de métricas de familia hasta resolver la normalización; permanece en el currículo original.</x:v>
      </x:c>
    </x:row>
    <x:row r="17">
      <x:c r="A17" s="26" t="str">
        <x:v>UNICUSANO</x:v>
      </x:c>
      <x:c r="B17" s="26" t="str">
        <x:v>UNICUSANO_LAUREA_TRIENNALE_IN_INGEGNERIA_INDUSTRIALE_L__ASIG009</x:v>
      </x:c>
      <x:c r="C17" s="26" t="str">
        <x:v>Disegno Industriale</x:v>
      </x:c>
      <x:c r="D17" s="26" t="str">
        <x:v>A04</x:v>
      </x:c>
      <x:c r="E17" s="26" t="str">
        <x:v>NR</x:v>
      </x:c>
      <x:c r="F17" s="26" t="str">
        <x:v>GAP01</x:v>
      </x:c>
      <x:c r="G17" s="26" t="str">
        <x:v>Dibujo/expresión gráfica de ingeniería sin familia específica</x:v>
      </x:c>
      <x:c r="H17" s="26" t="str">
        <x:v>Excluida de métricas de familia hasta resolver la normalización; permanece en el currículo original.</x:v>
      </x:c>
    </x:row>
    <x:row r="18">
      <x:c r="A18" s="26" t="str">
        <x:v>HOHENHEIM</x:v>
      </x:c>
      <x:c r="B18" s="26" t="str">
        <x:v>HOHENHEIM_B_SC_FOOD_SCIENCE_AND_BIOTECHNOLOGY_LEBENSMIT_ASIG015</x:v>
      </x:c>
      <x:c r="C18" s="26" t="str">
        <x:v>Technische Grundlagen</x:v>
      </x:c>
      <x:c r="D18" s="26" t="str">
        <x:v>A04</x:v>
      </x:c>
      <x:c r="E18" s="26" t="str">
        <x:v>NR</x:v>
      </x:c>
      <x:c r="F18" s="26" t="str">
        <x:v>GAP03</x:v>
      </x:c>
      <x:c r="G18" s="26" t="str">
        <x:v>Ciencias/fundamentos generales de ingeniería sin familia específica</x:v>
      </x:c>
      <x:c r="H18" s="26" t="str">
        <x:v>Excluida de métricas de familia hasta resolver la normalización; permanece en el currículo original.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14" t="str">
        <x:v>ID</x:v>
      </x:c>
      <x:c r="B1" s="14" t="str">
        <x:v>Control</x:v>
      </x:c>
      <x:c r="C1" s="14" t="str">
        <x:v>Resultado</x:v>
      </x:c>
      <x:c r="D1" s="14" t="str">
        <x:v>Esperado</x:v>
      </x:c>
      <x:c r="E1" s="14" t="str">
        <x:v>Estado</x:v>
      </x:c>
    </x:row>
    <x:row r="2">
      <x:c r="A2" s="26" t="str">
        <x:v>C01</x:v>
      </x:c>
      <x:c r="B2" s="26" t="str">
        <x:v>Currículos con asignaturas</x:v>
      </x:c>
      <x:c r="C2" s="26" t="n">
        <x:v>21</x:v>
      </x:c>
      <x:c r="D2" s="26" t="n">
        <x:v>21</x:v>
      </x:c>
      <x:c r="E2" s="26" t="str">
        <x:v>OK</x:v>
      </x:c>
    </x:row>
    <x:row r="3">
      <x:c r="A3" s="26" t="str">
        <x:v>C02</x:v>
      </x:c>
      <x:c r="B3" s="26" t="str">
        <x:v>Core Bachelor</x:v>
      </x:c>
      <x:c r="C3" s="26" t="n">
        <x:v>13</x:v>
      </x:c>
      <x:c r="D3" s="26" t="n">
        <x:v>13</x:v>
      </x:c>
      <x:c r="E3" s="26" t="str">
        <x:v>OK</x:v>
      </x:c>
    </x:row>
    <x:row r="4">
      <x:c r="A4" s="26" t="str">
        <x:v>C03</x:v>
      </x:c>
      <x:c r="B4" s="26" t="str">
        <x:v>Core créditos elegibles</x:v>
      </x:c>
      <x:c r="C4" s="26" t="n">
        <x:v>12</x:v>
      </x:c>
      <x:c r="D4" s="26" t="n">
        <x:v>12</x:v>
      </x:c>
      <x:c r="E4" s="26" t="str">
        <x:v>OK</x:v>
      </x:c>
    </x:row>
    <x:row r="5">
      <x:c r="A5" s="26" t="str">
        <x:v>C04</x:v>
      </x:c>
      <x:c r="B5" s="26" t="str">
        <x:v>Familias taxonómicas</x:v>
      </x:c>
      <x:c r="C5" s="26" t="n">
        <x:v>111</x:v>
      </x:c>
      <x:c r="D5" s="26" t="n">
        <x:v>111</x:v>
      </x:c>
      <x:c r="E5" s="26" t="str">
        <x:v>OK</x:v>
      </x:c>
    </x:row>
    <x:row r="6">
      <x:c r="A6" s="26" t="str">
        <x:v>C05</x:v>
      </x:c>
      <x:c r="B6" s="26" t="str">
        <x:v>Asignaturas APROBADO usadas</x:v>
      </x:c>
      <x:c r="C6" s="26" t="n">
        <x:v>676</x:v>
      </x:c>
      <x:c r="D6" s="26" t="n">
        <x:v>676</x:v>
      </x:c>
      <x:c r="E6" s="26" t="str">
        <x:v>OK</x:v>
      </x:c>
    </x:row>
    <x:row r="7">
      <x:c r="A7" s="26" t="str">
        <x:v>C06</x:v>
      </x:c>
      <x:c r="B7" s="26" t="str">
        <x:v>Casos REVISAR excluidos</x:v>
      </x:c>
      <x:c r="C7" s="26" t="n">
        <x:v>17</x:v>
      </x:c>
      <x:c r="D7" s="26" t="n">
        <x:v>17</x:v>
      </x:c>
      <x:c r="E7" s="26" t="str">
        <x:v>OK</x:v>
      </x:c>
    </x:row>
    <x:row r="8">
      <x:c r="A8" s="26" t="str">
        <x:v>C07</x:v>
      </x:c>
      <x:c r="B8" s="26" t="str">
        <x:v>Universales</x:v>
      </x:c>
      <x:c r="C8" s="26" t="n">
        <x:v>7</x:v>
      </x:c>
      <x:c r="D8" s="26" t="str">
        <x:v>&gt;=1</x:v>
      </x:c>
      <x:c r="E8" s="26" t="str">
        <x:v>OK</x:v>
      </x:c>
    </x:row>
    <x:row r="9">
      <x:c r="A9" s="26" t="str">
        <x:v>C08</x:v>
      </x:c>
      <x:c r="B9" s="26" t="str">
        <x:v>Emergentes</x:v>
      </x:c>
      <x:c r="C9" s="26" t="n">
        <x:v>9</x:v>
      </x:c>
      <x:c r="D9" s="26" t="str">
        <x:v>&gt;=1</x:v>
      </x:c>
      <x:c r="E9" s="26" t="str">
        <x:v>OK</x:v>
      </x:c>
    </x:row>
    <x:row r="10">
      <x:c r="A10" s="26" t="str">
        <x:v>C09</x:v>
      </x:c>
      <x:c r="B10" s="26" t="str">
        <x:v>Programa conjunto portugués</x:v>
      </x:c>
      <x:c r="C10" s="26" t="str">
        <x:v>Un solo currículo</x:v>
      </x:c>
      <x:c r="D10" s="26" t="str">
        <x:v>Un solo currículo</x:v>
      </x:c>
      <x:c r="E10" s="26" t="str">
        <x:v>OK</x:v>
      </x:c>
    </x:row>
    <x:row r="11">
      <x:c r="A11" s="26" t="str">
        <x:v>C10</x:v>
      </x:c>
      <x:c r="B11" s="26" t="str">
        <x:v>USC en denominador familias</x:v>
      </x:c>
      <x:c r="C11" s="26" t="str">
        <x:v>NO</x:v>
      </x:c>
      <x:c r="D11" s="26" t="str">
        <x:v>NO</x:v>
      </x:c>
      <x:c r="E11" s="26" t="str">
        <x:v>OK</x:v>
      </x:c>
    </x:row>
    <x:row r="12">
      <x:c r="A12" s="26" t="str">
        <x:v>C11</x:v>
      </x:c>
      <x:c r="B12" s="26" t="str">
        <x:v>Créditos de optativas sumados como obligatorios</x:v>
      </x:c>
      <x:c r="C12" s="26" t="str">
        <x:v>NO</x:v>
      </x:c>
      <x:c r="D12" s="26" t="str">
        <x:v>NO</x:v>
      </x:c>
      <x:c r="E12" s="26" t="str">
        <x:v>OK</x:v>
      </x:c>
    </x:row>
    <x:row r="13">
      <x:c r="A13" s="26" t="str">
        <x:v>C12</x:v>
      </x:c>
      <x:c r="B13" s="26" t="str">
        <x:v>Familias secundarias reciben crédito completo</x:v>
      </x:c>
      <x:c r="C13" s="26" t="str">
        <x:v>NO</x:v>
      </x:c>
      <x:c r="D13" s="26" t="str">
        <x:v>NO</x:v>
      </x:c>
      <x:c r="E13" s="26" t="str">
        <x:v>OK</x:v>
      </x:c>
    </x:row>
    <x:row r="14">
      <x:c r="A14" s="26" t="str">
        <x:v>C13</x:v>
      </x:c>
      <x:c r="B14" s="26" t="str">
        <x:v>Nivel Ingénieur/Master mezclado con Core</x:v>
      </x:c>
      <x:c r="C14" s="26" t="str">
        <x:v>NO</x:v>
      </x:c>
      <x:c r="D14" s="26" t="str">
        <x:v>NO</x:v>
      </x:c>
      <x:c r="E14" s="26" t="str">
        <x:v>OK</x:v>
      </x:c>
    </x:row>
    <x:row r="15">
      <x:c r="A15" s="26" t="str">
        <x:v>C14</x:v>
      </x:c>
      <x:c r="B15" s="26" t="str">
        <x:v>Feedback EPN usado para clasificar familias</x:v>
      </x:c>
      <x:c r="C15" s="26" t="str">
        <x:v>NO</x:v>
      </x:c>
      <x:c r="D15" s="26" t="str">
        <x:v>NO</x:v>
      </x:c>
      <x:c r="E15" s="26" t="str">
        <x:v>OK</x:v>
      </x:c>
    </x:row>
    <x:row r="16">
      <x:c r="A16" s="26" t="str">
        <x:v>C15</x:v>
      </x:c>
      <x:c r="B16" s="26" t="str">
        <x:v>Acción final EPN mantener/añadir/eliminar</x:v>
      </x:c>
      <x:c r="C16" s="26" t="str">
        <x:v>PENDIENTE</x:v>
      </x:c>
      <x:c r="D16" s="26" t="str">
        <x:v>Hasta integrar malla AGRO EPN</x:v>
      </x:c>
      <x:c r="E16" s="26" t="str">
        <x:v>OK</x:v>
      </x:c>
    </x:row>
  </x:sheetData>
  <x:conditionalFormatting sqref="E2:E16">
    <x:cfRule type="expression" dxfId="9" priority="1">
      <x:formula>E2="OK"</x:formula>
    </x:cfRule>
    <x:cfRule type="expression" dxfId="10" priority="2">
      <x:formula>E2="ERROR"</x:formula>
    </x:cfRule>
  </x:conditionalFormatting>
  <x:pageMargins left="0.7" right="0.7" top="0.75" bottom="0.75" header="0.3" footer="0.3"/>
</x:worksheet>
</file>